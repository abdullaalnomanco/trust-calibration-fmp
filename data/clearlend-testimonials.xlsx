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s" sheetId="1" state="visible" r:id="rId3"/>
    <sheet name="Summary" sheetId="2" state="visible" r:id="rId4"/>
  </sheets>
  <definedNames>
    <definedName function="false" hidden="true" localSheetId="0" name="_xlnm._FilterDatabase" vbProcedure="false">Reviews!$A$1:$K$121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<sst xmlns="http://schemas.openxmlformats.org/spreadsheetml/2006/main" count="745" uniqueCount="305">
  <si>
    <t xml:space="preserve">ID</t>
  </si>
  <si>
    <t xml:space="preserve">Participant ID</t>
  </si>
  <si>
    <t xml:space="preserve">Display Name</t>
  </si>
  <si>
    <t xml:space="preserve">University</t>
  </si>
  <si>
    <t xml:space="preserve">Nationality</t>
  </si>
  <si>
    <t xml:space="preserve">Condition</t>
  </si>
  <si>
    <t xml:space="preserve">Rating (1-5)</t>
  </si>
  <si>
    <t xml:space="preserve">Perceived Fairness (1-7)</t>
  </si>
  <si>
    <t xml:space="preserve">Trust in Automation (1-7)</t>
  </si>
  <si>
    <t xml:space="preserve">Review Date</t>
  </si>
  <si>
    <t xml:space="preserve">Quote</t>
  </si>
  <si>
    <t xml:space="preserve">P0307</t>
  </si>
  <si>
    <t xml:space="preserve">Rekha B.</t>
  </si>
  <si>
    <t xml:space="preserve">BRAC University</t>
  </si>
  <si>
    <t xml:space="preserve">Indian</t>
  </si>
  <si>
    <t xml:space="preserve">A_no_explanation</t>
  </si>
  <si>
    <t xml:space="preserve">Fine for a fast check, but I was left guessing why I got that outcome.</t>
  </si>
  <si>
    <t xml:space="preserve">P0229</t>
  </si>
  <si>
    <t xml:space="preserve">Emma C.</t>
  </si>
  <si>
    <t xml:space="preserve">Daffodil International University</t>
  </si>
  <si>
    <t xml:space="preserve">British</t>
  </si>
  <si>
    <t xml:space="preserve">C_counterfactual</t>
  </si>
  <si>
    <t xml:space="preserve">Really liked exploring the scenarios, though I wanted to try a few more combinations.</t>
  </si>
  <si>
    <t xml:space="preserve">P0465</t>
  </si>
  <si>
    <t xml:space="preserve">Rafat H.</t>
  </si>
  <si>
    <t xml:space="preserve">University of East London</t>
  </si>
  <si>
    <t xml:space="preserve">Bangladeshi</t>
  </si>
  <si>
    <t xml:space="preserve">The scenario explorer was interesting, but I wasn't sure how reliable the predictions were.</t>
  </si>
  <si>
    <t xml:space="preserve">P0314</t>
  </si>
  <si>
    <t xml:space="preserve">Victoria L.</t>
  </si>
  <si>
    <t xml:space="preserve">University of Bedfordshire</t>
  </si>
  <si>
    <t xml:space="preserve">Did what it needed to do. A short reason alongside the decision would have been nice.</t>
  </si>
  <si>
    <t xml:space="preserve">P0538</t>
  </si>
  <si>
    <t xml:space="preserve">Meera V.</t>
  </si>
  <si>
    <t xml:space="preserve">P0100</t>
  </si>
  <si>
    <t xml:space="preserve">Mamunur R.</t>
  </si>
  <si>
    <t xml:space="preserve">BUET</t>
  </si>
  <si>
    <t xml:space="preserve">B_surface</t>
  </si>
  <si>
    <t xml:space="preserve">The factors were listed, but I still wasn't sure how they were weighed together.</t>
  </si>
  <si>
    <t xml:space="preserve">P0199</t>
  </si>
  <si>
    <t xml:space="preserve">Shahnaz P.</t>
  </si>
  <si>
    <t xml:space="preserve">Kingston University London</t>
  </si>
  <si>
    <t xml:space="preserve">It's just a decision with no reasoning shown — okay if you don't need the detail.</t>
  </si>
  <si>
    <t xml:space="preserve">P0338</t>
  </si>
  <si>
    <t xml:space="preserve">Eduardo F.</t>
  </si>
  <si>
    <t xml:space="preserve">Other</t>
  </si>
  <si>
    <t xml:space="preserve">P0065</t>
  </si>
  <si>
    <t xml:space="preserve">Elena P.</t>
  </si>
  <si>
    <t xml:space="preserve">North South University</t>
  </si>
  <si>
    <t xml:space="preserve">P0283</t>
  </si>
  <si>
    <t xml:space="preserve">Logan G.</t>
  </si>
  <si>
    <t xml:space="preserve">Oxford Brookes University</t>
  </si>
  <si>
    <t xml:space="preserve">Useful to see what might change things, though it felt a bit abstract.</t>
  </si>
  <si>
    <t xml:space="preserve">P0159</t>
  </si>
  <si>
    <t xml:space="preserve">Amirah H.</t>
  </si>
  <si>
    <t xml:space="preserve">Goldsmiths University of London</t>
  </si>
  <si>
    <t xml:space="preserve">Malaysian</t>
  </si>
  <si>
    <t xml:space="preserve">P0582</t>
  </si>
  <si>
    <t xml:space="preserve">Rony H.</t>
  </si>
  <si>
    <t xml:space="preserve">University of Surrey</t>
  </si>
  <si>
    <t xml:space="preserve">P0604</t>
  </si>
  <si>
    <t xml:space="preserve">Jahanara B.</t>
  </si>
  <si>
    <t xml:space="preserve">Clear breakdown overall — helped me understand where I stood.</t>
  </si>
  <si>
    <t xml:space="preserve">P0585</t>
  </si>
  <si>
    <t xml:space="preserve">Suresh Y.</t>
  </si>
  <si>
    <t xml:space="preserve">Leeds Beckett University</t>
  </si>
  <si>
    <t xml:space="preserve">P0302</t>
  </si>
  <si>
    <t xml:space="preserve">Pooja Y.</t>
  </si>
  <si>
    <t xml:space="preserve">University of Chichester</t>
  </si>
  <si>
    <t xml:space="preserve">P0069</t>
  </si>
  <si>
    <t xml:space="preserve">Rezaul K.</t>
  </si>
  <si>
    <t xml:space="preserve">P0236</t>
  </si>
  <si>
    <t xml:space="preserve">Minhajul A.</t>
  </si>
  <si>
    <t xml:space="preserve">P0375</t>
  </si>
  <si>
    <t xml:space="preserve">Siamul I.</t>
  </si>
  <si>
    <t xml:space="preserve">University of South Wales</t>
  </si>
  <si>
    <t xml:space="preserve">P0456</t>
  </si>
  <si>
    <t xml:space="preserve">Toufiqul I.</t>
  </si>
  <si>
    <t xml:space="preserve">London Metropolitan University</t>
  </si>
  <si>
    <t xml:space="preserve">P0467</t>
  </si>
  <si>
    <t xml:space="preserve">Poly A.</t>
  </si>
  <si>
    <t xml:space="preserve">P0271</t>
  </si>
  <si>
    <t xml:space="preserve">Nadia I.</t>
  </si>
  <si>
    <t xml:space="preserve">University for the Creative Arts, Farnham</t>
  </si>
  <si>
    <t xml:space="preserve">Pakistani</t>
  </si>
  <si>
    <t xml:space="preserve">Useful information, though it took me a moment to make sense of it all.</t>
  </si>
  <si>
    <t xml:space="preserve">P0438</t>
  </si>
  <si>
    <t xml:space="preserve">Vinod P.</t>
  </si>
  <si>
    <t xml:space="preserve">P0377</t>
  </si>
  <si>
    <t xml:space="preserve">Noor M.</t>
  </si>
  <si>
    <t xml:space="preserve">P0615</t>
  </si>
  <si>
    <t xml:space="preserve">Charlotte C.</t>
  </si>
  <si>
    <t xml:space="preserve">I saw the factors but still didn't fully understand the reasoning behind the outcome.</t>
  </si>
  <si>
    <t xml:space="preserve">P0379</t>
  </si>
  <si>
    <t xml:space="preserve">Nasima B.</t>
  </si>
  <si>
    <t xml:space="preserve">Brunel University London</t>
  </si>
  <si>
    <t xml:space="preserve">P0123</t>
  </si>
  <si>
    <t xml:space="preserve">Lima A.</t>
  </si>
  <si>
    <t xml:space="preserve">University of Dhaka</t>
  </si>
  <si>
    <t xml:space="preserve">P0357</t>
  </si>
  <si>
    <t xml:space="preserve">Arafat H.</t>
  </si>
  <si>
    <t xml:space="preserve">P0543</t>
  </si>
  <si>
    <t xml:space="preserve">Iqbal N.</t>
  </si>
  <si>
    <t xml:space="preserve">P0493</t>
  </si>
  <si>
    <t xml:space="preserve">Tahmina A.</t>
  </si>
  <si>
    <t xml:space="preserve">P0447</t>
  </si>
  <si>
    <t xml:space="preserve">Rubayat A.</t>
  </si>
  <si>
    <t xml:space="preserve">University of Hertfordshire</t>
  </si>
  <si>
    <t xml:space="preserve">P0646</t>
  </si>
  <si>
    <t xml:space="preserve">Tawsif A.</t>
  </si>
  <si>
    <t xml:space="preserve">Middlesex University</t>
  </si>
  <si>
    <t xml:space="preserve">P0297</t>
  </si>
  <si>
    <t xml:space="preserve">Shohel R.</t>
  </si>
  <si>
    <t xml:space="preserve">P0661</t>
  </si>
  <si>
    <t xml:space="preserve">Zoe T.</t>
  </si>
  <si>
    <t xml:space="preserve">P0497</t>
  </si>
  <si>
    <t xml:space="preserve">Ahmad R.</t>
  </si>
  <si>
    <t xml:space="preserve">The counterfactual view was a great touch — helped me understand what to do next.</t>
  </si>
  <si>
    <t xml:space="preserve">P0185</t>
  </si>
  <si>
    <t xml:space="preserve">Natalia P.</t>
  </si>
  <si>
    <t xml:space="preserve">P0542</t>
  </si>
  <si>
    <t xml:space="preserve">Sadia I.</t>
  </si>
  <si>
    <t xml:space="preserve">P0621</t>
  </si>
  <si>
    <t xml:space="preserve">Patrick N.</t>
  </si>
  <si>
    <t xml:space="preserve">P0647</t>
  </si>
  <si>
    <t xml:space="preserve">Raj G.</t>
  </si>
  <si>
    <t xml:space="preserve">P0394</t>
  </si>
  <si>
    <t xml:space="preserve">Moni A.</t>
  </si>
  <si>
    <t xml:space="preserve">P0539</t>
  </si>
  <si>
    <t xml:space="preserve">Sana M.</t>
  </si>
  <si>
    <t xml:space="preserve">P0432</t>
  </si>
  <si>
    <t xml:space="preserve">Suchona A.</t>
  </si>
  <si>
    <t xml:space="preserve">P0341</t>
  </si>
  <si>
    <t xml:space="preserve">Ayasha S.</t>
  </si>
  <si>
    <t xml:space="preserve">P0048</t>
  </si>
  <si>
    <t xml:space="preserve">Sunita M.</t>
  </si>
  <si>
    <t xml:space="preserve">P0344</t>
  </si>
  <si>
    <t xml:space="preserve">Siti H.</t>
  </si>
  <si>
    <t xml:space="preserve">P0042</t>
  </si>
  <si>
    <t xml:space="preserve">Sohel R.</t>
  </si>
  <si>
    <t xml:space="preserve">P0435</t>
  </si>
  <si>
    <t xml:space="preserve">Chloe M.</t>
  </si>
  <si>
    <t xml:space="preserve">P0088</t>
  </si>
  <si>
    <t xml:space="preserve">Zain M.</t>
  </si>
  <si>
    <t xml:space="preserve">University of Westminster</t>
  </si>
  <si>
    <t xml:space="preserve">P0133</t>
  </si>
  <si>
    <t xml:space="preserve">Fatima M.</t>
  </si>
  <si>
    <t xml:space="preserve">Anglia Ruskin University</t>
  </si>
  <si>
    <t xml:space="preserve">P0474</t>
  </si>
  <si>
    <t xml:space="preserve">Shafiqur R.</t>
  </si>
  <si>
    <t xml:space="preserve">P0318</t>
  </si>
  <si>
    <t xml:space="preserve">Abul H.</t>
  </si>
  <si>
    <t xml:space="preserve">P0076</t>
  </si>
  <si>
    <t xml:space="preserve">Divya P.</t>
  </si>
  <si>
    <t xml:space="preserve">P0601</t>
  </si>
  <si>
    <t xml:space="preserve">Delwar H.</t>
  </si>
  <si>
    <t xml:space="preserve">Manchester Metropolitan University</t>
  </si>
  <si>
    <t xml:space="preserve">P0550</t>
  </si>
  <si>
    <t xml:space="preserve">Seema T.</t>
  </si>
  <si>
    <t xml:space="preserve">Good explanation of the main factors, though I wanted a bit more detail on one of them.</t>
  </si>
  <si>
    <t xml:space="preserve">P0027</t>
  </si>
  <si>
    <t xml:space="preserve">Hossain A.</t>
  </si>
  <si>
    <t xml:space="preserve">P0421</t>
  </si>
  <si>
    <t xml:space="preserve">Nargis A.</t>
  </si>
  <si>
    <t xml:space="preserve">P0479</t>
  </si>
  <si>
    <t xml:space="preserve">Chioma N.</t>
  </si>
  <si>
    <t xml:space="preserve">Nigerian</t>
  </si>
  <si>
    <t xml:space="preserve">P0496</t>
  </si>
  <si>
    <t xml:space="preserve">George B.</t>
  </si>
  <si>
    <t xml:space="preserve">P0029</t>
  </si>
  <si>
    <t xml:space="preserve">Jeba A.</t>
  </si>
  <si>
    <t xml:space="preserve">P0158</t>
  </si>
  <si>
    <t xml:space="preserve">Shahriar K.</t>
  </si>
  <si>
    <t xml:space="preserve">P0043</t>
  </si>
  <si>
    <t xml:space="preserve">Monirul I.</t>
  </si>
  <si>
    <t xml:space="preserve">P0269</t>
  </si>
  <si>
    <t xml:space="preserve">Jakir H.</t>
  </si>
  <si>
    <t xml:space="preserve">P0201</t>
  </si>
  <si>
    <t xml:space="preserve">Monira B.</t>
  </si>
  <si>
    <t xml:space="preserve">P0049</t>
  </si>
  <si>
    <t xml:space="preserve">Jun L.</t>
  </si>
  <si>
    <t xml:space="preserve">Chinese</t>
  </si>
  <si>
    <t xml:space="preserve">P0400</t>
  </si>
  <si>
    <t xml:space="preserve">Bisi A.</t>
  </si>
  <si>
    <t xml:space="preserve">Coventry University</t>
  </si>
  <si>
    <t xml:space="preserve">P0584</t>
  </si>
  <si>
    <t xml:space="preserve">Puja D.</t>
  </si>
  <si>
    <t xml:space="preserve">P0513</t>
  </si>
  <si>
    <t xml:space="preserve">Anik H.</t>
  </si>
  <si>
    <t xml:space="preserve">P0645</t>
  </si>
  <si>
    <t xml:space="preserve">Jaya C.</t>
  </si>
  <si>
    <t xml:space="preserve">P0044</t>
  </si>
  <si>
    <t xml:space="preserve">I had no idea why I was declined. Felt like a closed door with no explanation.</t>
  </si>
  <si>
    <t xml:space="preserve">P0401</t>
  </si>
  <si>
    <t xml:space="preserve">Hidayah I.</t>
  </si>
  <si>
    <t xml:space="preserve">P0213</t>
  </si>
  <si>
    <t xml:space="preserve">Mostofa K.</t>
  </si>
  <si>
    <t xml:space="preserve">P0055</t>
  </si>
  <si>
    <t xml:space="preserve">Fazlul H.</t>
  </si>
  <si>
    <t xml:space="preserve">P0592</t>
  </si>
  <si>
    <t xml:space="preserve">Mosaraf H.</t>
  </si>
  <si>
    <t xml:space="preserve">P0613</t>
  </si>
  <si>
    <t xml:space="preserve">Kulsum B.</t>
  </si>
  <si>
    <t xml:space="preserve">P0463</t>
  </si>
  <si>
    <t xml:space="preserve">Alexander L.</t>
  </si>
  <si>
    <t xml:space="preserve">P0484</t>
  </si>
  <si>
    <t xml:space="preserve">Arafatur R.</t>
  </si>
  <si>
    <t xml:space="preserve">P0363</t>
  </si>
  <si>
    <t xml:space="preserve">Raisul I.</t>
  </si>
  <si>
    <t xml:space="preserve">P0040</t>
  </si>
  <si>
    <t xml:space="preserve">Murad H.</t>
  </si>
  <si>
    <t xml:space="preserve">P0398</t>
  </si>
  <si>
    <t xml:space="preserve">Tahiya I.</t>
  </si>
  <si>
    <t xml:space="preserve">P0455</t>
  </si>
  <si>
    <t xml:space="preserve">Aliya B.</t>
  </si>
  <si>
    <t xml:space="preserve">Sheffield Hallam University</t>
  </si>
  <si>
    <t xml:space="preserve">P0360</t>
  </si>
  <si>
    <t xml:space="preserve">Faizan Q.</t>
  </si>
  <si>
    <t xml:space="preserve">P0207</t>
  </si>
  <si>
    <t xml:space="preserve">Imran B.</t>
  </si>
  <si>
    <t xml:space="preserve">P0562</t>
  </si>
  <si>
    <t xml:space="preserve">Abena A.</t>
  </si>
  <si>
    <t xml:space="preserve">P0390</t>
  </si>
  <si>
    <t xml:space="preserve">P0674</t>
  </si>
  <si>
    <t xml:space="preserve">Charlie D.</t>
  </si>
  <si>
    <t xml:space="preserve">P0240</t>
  </si>
  <si>
    <t xml:space="preserve">Radha P.</t>
  </si>
  <si>
    <t xml:space="preserve">P0528</t>
  </si>
  <si>
    <t xml:space="preserve">Tania S.</t>
  </si>
  <si>
    <t xml:space="preserve">P0019</t>
  </si>
  <si>
    <t xml:space="preserve">Ajay C.</t>
  </si>
  <si>
    <t xml:space="preserve">P0639</t>
  </si>
  <si>
    <t xml:space="preserve">Hasibul H.</t>
  </si>
  <si>
    <t xml:space="preserve">P0101</t>
  </si>
  <si>
    <t xml:space="preserve">P0293</t>
  </si>
  <si>
    <t xml:space="preserve">Ming L.</t>
  </si>
  <si>
    <t xml:space="preserve">P0364</t>
  </si>
  <si>
    <t xml:space="preserve">Mithila R.</t>
  </si>
  <si>
    <t xml:space="preserve">P0525</t>
  </si>
  <si>
    <t xml:space="preserve">Jasim U.</t>
  </si>
  <si>
    <t xml:space="preserve">P0243</t>
  </si>
  <si>
    <t xml:space="preserve">Maryam A.</t>
  </si>
  <si>
    <t xml:space="preserve">P0075</t>
  </si>
  <si>
    <t xml:space="preserve">Lutfur R.</t>
  </si>
  <si>
    <t xml:space="preserve">P0577</t>
  </si>
  <si>
    <t xml:space="preserve">Moshiur R.</t>
  </si>
  <si>
    <t xml:space="preserve">P0070</t>
  </si>
  <si>
    <t xml:space="preserve">Taslima B.</t>
  </si>
  <si>
    <t xml:space="preserve">P0067</t>
  </si>
  <si>
    <t xml:space="preserve">Ashraful A.</t>
  </si>
  <si>
    <t xml:space="preserve">P0226</t>
  </si>
  <si>
    <t xml:space="preserve">Sadman S.</t>
  </si>
  <si>
    <t xml:space="preserve">P0064</t>
  </si>
  <si>
    <t xml:space="preserve">Sorifa B.</t>
  </si>
  <si>
    <t xml:space="preserve">P0299</t>
  </si>
  <si>
    <t xml:space="preserve">Manoj J.</t>
  </si>
  <si>
    <t xml:space="preserve">P0378</t>
  </si>
  <si>
    <t xml:space="preserve">Rabia H.</t>
  </si>
  <si>
    <t xml:space="preserve">P0220</t>
  </si>
  <si>
    <t xml:space="preserve">Sumon H.</t>
  </si>
  <si>
    <t xml:space="preserve">P0566</t>
  </si>
  <si>
    <t xml:space="preserve">P0533</t>
  </si>
  <si>
    <t xml:space="preserve">Runa B.</t>
  </si>
  <si>
    <t xml:space="preserve">P0630</t>
  </si>
  <si>
    <t xml:space="preserve">Kai X.</t>
  </si>
  <si>
    <t xml:space="preserve">P0648</t>
  </si>
  <si>
    <t xml:space="preserve">Nurul H.</t>
  </si>
  <si>
    <t xml:space="preserve">P0041</t>
  </si>
  <si>
    <t xml:space="preserve">Hafiz J.</t>
  </si>
  <si>
    <t xml:space="preserve">P0217</t>
  </si>
  <si>
    <t xml:space="preserve">Nusrat J.</t>
  </si>
  <si>
    <t xml:space="preserve">P0512</t>
  </si>
  <si>
    <t xml:space="preserve">P0315</t>
  </si>
  <si>
    <t xml:space="preserve">Mehedi H.</t>
  </si>
  <si>
    <t xml:space="preserve">P0593</t>
  </si>
  <si>
    <t xml:space="preserve">Abdul K.</t>
  </si>
  <si>
    <t xml:space="preserve">University of Reading</t>
  </si>
  <si>
    <t xml:space="preserve">P0355</t>
  </si>
  <si>
    <t xml:space="preserve">Marium A.</t>
  </si>
  <si>
    <t xml:space="preserve">P0480</t>
  </si>
  <si>
    <t xml:space="preserve">Ripa A.</t>
  </si>
  <si>
    <t xml:space="preserve">Quick decision, though I'll admit I was curious why it landed where it did.</t>
  </si>
  <si>
    <t xml:space="preserve">P0414</t>
  </si>
  <si>
    <t xml:space="preserve">Zainab A.</t>
  </si>
  <si>
    <t xml:space="preserve">P0431</t>
  </si>
  <si>
    <t xml:space="preserve">Rohit P.</t>
  </si>
  <si>
    <t xml:space="preserve">P0675</t>
  </si>
  <si>
    <t xml:space="preserve">Biplab D.</t>
  </si>
  <si>
    <t xml:space="preserve">P0309</t>
  </si>
  <si>
    <t xml:space="preserve">Arun K.</t>
  </si>
  <si>
    <t xml:space="preserve">P0079</t>
  </si>
  <si>
    <t xml:space="preserve">Sara B.</t>
  </si>
  <si>
    <t xml:space="preserve">P0155</t>
  </si>
  <si>
    <t xml:space="preserve">Priya S.</t>
  </si>
  <si>
    <t xml:space="preserve">P0218</t>
  </si>
  <si>
    <t xml:space="preserve">Sumaiya I.</t>
  </si>
  <si>
    <t xml:space="preserve">ClearLend — Real participant testimonial dataset</t>
  </si>
  <si>
    <t xml:space="preserve">Source: trust_calibration_FINAL (n=678), stratified sample of 120 by condition</t>
  </si>
  <si>
    <t xml:space="preserve">Total reviews</t>
  </si>
  <si>
    <t xml:space="preserve">Average rating</t>
  </si>
  <si>
    <t xml:space="preserve">Avg perceived fairness (1-7)</t>
  </si>
  <si>
    <t xml:space="preserve">Avg trust in automation (1-7)</t>
  </si>
  <si>
    <t xml:space="preserve">Rating</t>
  </si>
  <si>
    <t xml:space="preserve">Count</t>
  </si>
  <si>
    <t xml:space="preserve">Share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</si>
</sst>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0.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6233D"/>
      <name val="Arial"/>
      <family val="0"/>
      <charset val="1"/>
    </font>
    <font>
      <i val="true"/>
      <sz val="9"/>
      <color rgb="FF4A567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3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E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23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1E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6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n">
        <v>3</v>
      </c>
      <c r="H2" s="2" t="n">
        <v>3.54</v>
      </c>
      <c r="I2" s="2" t="n">
        <v>4.02</v>
      </c>
      <c r="J2" s="4" t="n">
        <v>46218</v>
      </c>
      <c r="K2" s="5" t="s">
        <v>16</v>
      </c>
    </row>
    <row r="3" customFormat="false" ht="23.85" hidden="false" customHeight="false" outlineLevel="0" collapsed="false">
      <c r="A3" s="2" t="n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n">
        <v>4</v>
      </c>
      <c r="H3" s="2" t="n">
        <v>5.5</v>
      </c>
      <c r="I3" s="2" t="n">
        <v>4.53</v>
      </c>
      <c r="J3" s="4" t="n">
        <v>46227</v>
      </c>
      <c r="K3" s="5" t="s">
        <v>22</v>
      </c>
    </row>
    <row r="4" customFormat="false" ht="23.8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21</v>
      </c>
      <c r="G4" s="3" t="n">
        <v>3</v>
      </c>
      <c r="H4" s="2" t="n">
        <v>4.16</v>
      </c>
      <c r="I4" s="2" t="n">
        <v>4.83</v>
      </c>
      <c r="J4" s="4" t="n">
        <v>46234</v>
      </c>
      <c r="K4" s="5" t="s">
        <v>27</v>
      </c>
    </row>
    <row r="5" customFormat="false" ht="23.85" hidden="false" customHeight="false" outlineLevel="0" collapsed="false">
      <c r="A5" s="2" t="n">
        <v>4</v>
      </c>
      <c r="B5" s="2" t="s">
        <v>28</v>
      </c>
      <c r="C5" s="2" t="s">
        <v>29</v>
      </c>
      <c r="D5" s="2" t="s">
        <v>30</v>
      </c>
      <c r="E5" s="2" t="s">
        <v>20</v>
      </c>
      <c r="F5" s="2" t="s">
        <v>15</v>
      </c>
      <c r="G5" s="3" t="n">
        <v>4</v>
      </c>
      <c r="H5" s="2" t="n">
        <v>5.16</v>
      </c>
      <c r="I5" s="2" t="n">
        <v>5.17</v>
      </c>
      <c r="J5" s="4" t="n">
        <v>46206</v>
      </c>
      <c r="K5" s="5" t="s">
        <v>31</v>
      </c>
    </row>
    <row r="6" customFormat="false" ht="15" hidden="false" customHeight="false" outlineLevel="0" collapsed="false">
      <c r="A6" s="2" t="n">
        <v>5</v>
      </c>
      <c r="B6" s="2" t="s">
        <v>32</v>
      </c>
      <c r="C6" s="2" t="s">
        <v>33</v>
      </c>
      <c r="D6" s="2" t="s">
        <v>13</v>
      </c>
      <c r="E6" s="2" t="s">
        <v>14</v>
      </c>
      <c r="F6" s="2" t="s">
        <v>15</v>
      </c>
      <c r="G6" s="3" t="n">
        <v>3</v>
      </c>
      <c r="H6" s="2" t="n">
        <v>4.27</v>
      </c>
      <c r="I6" s="2" t="n">
        <v>3.53</v>
      </c>
      <c r="J6" s="4" t="n">
        <v>46249</v>
      </c>
      <c r="K6" s="5" t="s">
        <v>16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s">
        <v>35</v>
      </c>
      <c r="D7" s="2" t="s">
        <v>36</v>
      </c>
      <c r="E7" s="2" t="s">
        <v>26</v>
      </c>
      <c r="F7" s="2" t="s">
        <v>37</v>
      </c>
      <c r="G7" s="3" t="n">
        <v>3</v>
      </c>
      <c r="H7" s="2" t="n">
        <v>4.85</v>
      </c>
      <c r="I7" s="2" t="n">
        <v>4.19</v>
      </c>
      <c r="J7" s="4" t="n">
        <v>46231</v>
      </c>
      <c r="K7" s="5" t="s">
        <v>38</v>
      </c>
    </row>
    <row r="8" customFormat="false" ht="15" hidden="false" customHeight="false" outlineLevel="0" collapsed="false">
      <c r="A8" s="2" t="n">
        <v>7</v>
      </c>
      <c r="B8" s="2" t="s">
        <v>39</v>
      </c>
      <c r="C8" s="2" t="s">
        <v>40</v>
      </c>
      <c r="D8" s="2" t="s">
        <v>41</v>
      </c>
      <c r="E8" s="2" t="s">
        <v>26</v>
      </c>
      <c r="F8" s="2" t="s">
        <v>15</v>
      </c>
      <c r="G8" s="3" t="n">
        <v>3</v>
      </c>
      <c r="H8" s="2" t="n">
        <v>2.93</v>
      </c>
      <c r="I8" s="2" t="n">
        <v>4.85</v>
      </c>
      <c r="J8" s="4" t="n">
        <v>46213</v>
      </c>
      <c r="K8" s="5" t="s">
        <v>42</v>
      </c>
    </row>
    <row r="9" customFormat="false" ht="15" hidden="false" customHeight="false" outlineLevel="0" collapsed="false">
      <c r="A9" s="2" t="n">
        <v>8</v>
      </c>
      <c r="B9" s="2" t="s">
        <v>43</v>
      </c>
      <c r="C9" s="2" t="s">
        <v>44</v>
      </c>
      <c r="D9" s="2" t="s">
        <v>19</v>
      </c>
      <c r="E9" s="2" t="s">
        <v>45</v>
      </c>
      <c r="F9" s="2" t="s">
        <v>37</v>
      </c>
      <c r="G9" s="3" t="n">
        <v>3</v>
      </c>
      <c r="H9" s="2" t="n">
        <v>4.11</v>
      </c>
      <c r="I9" s="2" t="n">
        <v>4.37</v>
      </c>
      <c r="J9" s="4" t="n">
        <v>46239</v>
      </c>
      <c r="K9" s="5" t="s">
        <v>38</v>
      </c>
    </row>
    <row r="10" customFormat="false" ht="23.85" hidden="false" customHeight="false" outlineLevel="0" collapsed="false">
      <c r="A10" s="2" t="n">
        <v>9</v>
      </c>
      <c r="B10" s="2" t="s">
        <v>46</v>
      </c>
      <c r="C10" s="2" t="s">
        <v>47</v>
      </c>
      <c r="D10" s="2" t="s">
        <v>48</v>
      </c>
      <c r="E10" s="2" t="s">
        <v>45</v>
      </c>
      <c r="F10" s="2" t="s">
        <v>15</v>
      </c>
      <c r="G10" s="3" t="n">
        <v>4</v>
      </c>
      <c r="H10" s="2" t="n">
        <v>5.94</v>
      </c>
      <c r="I10" s="2" t="n">
        <v>5.06</v>
      </c>
      <c r="J10" s="4" t="n">
        <v>46228</v>
      </c>
      <c r="K10" s="5" t="s">
        <v>31</v>
      </c>
    </row>
    <row r="11" customFormat="false" ht="15" hidden="false" customHeight="false" outlineLevel="0" collapsed="false">
      <c r="A11" s="2" t="n">
        <v>10</v>
      </c>
      <c r="B11" s="2" t="s">
        <v>49</v>
      </c>
      <c r="C11" s="2" t="s">
        <v>50</v>
      </c>
      <c r="D11" s="2" t="s">
        <v>51</v>
      </c>
      <c r="E11" s="2" t="s">
        <v>20</v>
      </c>
      <c r="F11" s="2" t="s">
        <v>21</v>
      </c>
      <c r="G11" s="3" t="n">
        <v>3</v>
      </c>
      <c r="H11" s="2" t="n">
        <v>5</v>
      </c>
      <c r="I11" s="2" t="n">
        <v>4.46</v>
      </c>
      <c r="J11" s="4" t="n">
        <v>46214</v>
      </c>
      <c r="K11" s="5" t="s">
        <v>52</v>
      </c>
    </row>
    <row r="12" customFormat="false" ht="15" hidden="false" customHeight="false" outlineLevel="0" collapsed="false">
      <c r="A12" s="2" t="n">
        <v>11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15</v>
      </c>
      <c r="G12" s="3" t="n">
        <v>3</v>
      </c>
      <c r="H12" s="2" t="n">
        <v>4.23</v>
      </c>
      <c r="I12" s="2" t="n">
        <v>4.91</v>
      </c>
      <c r="J12" s="4" t="n">
        <v>46227</v>
      </c>
      <c r="K12" s="5" t="s">
        <v>16</v>
      </c>
    </row>
    <row r="13" customFormat="false" ht="23.85" hidden="false" customHeight="false" outlineLevel="0" collapsed="false">
      <c r="A13" s="2" t="n">
        <v>12</v>
      </c>
      <c r="B13" s="2" t="s">
        <v>57</v>
      </c>
      <c r="C13" s="2" t="s">
        <v>58</v>
      </c>
      <c r="D13" s="2" t="s">
        <v>59</v>
      </c>
      <c r="E13" s="2" t="s">
        <v>26</v>
      </c>
      <c r="F13" s="2" t="s">
        <v>21</v>
      </c>
      <c r="G13" s="3" t="n">
        <v>4</v>
      </c>
      <c r="H13" s="2" t="n">
        <v>5.57</v>
      </c>
      <c r="I13" s="2" t="n">
        <v>5.01</v>
      </c>
      <c r="J13" s="4" t="n">
        <v>46232</v>
      </c>
      <c r="K13" s="5" t="s">
        <v>22</v>
      </c>
    </row>
    <row r="14" customFormat="false" ht="15" hidden="false" customHeight="false" outlineLevel="0" collapsed="false">
      <c r="A14" s="2" t="n">
        <v>13</v>
      </c>
      <c r="B14" s="2" t="s">
        <v>60</v>
      </c>
      <c r="C14" s="2" t="s">
        <v>61</v>
      </c>
      <c r="D14" s="2" t="s">
        <v>30</v>
      </c>
      <c r="E14" s="2" t="s">
        <v>26</v>
      </c>
      <c r="F14" s="2" t="s">
        <v>37</v>
      </c>
      <c r="G14" s="3" t="n">
        <v>4</v>
      </c>
      <c r="H14" s="2" t="n">
        <v>5.26</v>
      </c>
      <c r="I14" s="2" t="n">
        <v>4.51</v>
      </c>
      <c r="J14" s="4" t="n">
        <v>46211</v>
      </c>
      <c r="K14" s="5" t="s">
        <v>62</v>
      </c>
    </row>
    <row r="15" customFormat="false" ht="15" hidden="false" customHeight="false" outlineLevel="0" collapsed="false">
      <c r="A15" s="2" t="n">
        <v>14</v>
      </c>
      <c r="B15" s="2" t="s">
        <v>63</v>
      </c>
      <c r="C15" s="2" t="s">
        <v>64</v>
      </c>
      <c r="D15" s="2" t="s">
        <v>65</v>
      </c>
      <c r="E15" s="2" t="s">
        <v>14</v>
      </c>
      <c r="F15" s="2" t="s">
        <v>15</v>
      </c>
      <c r="G15" s="3" t="n">
        <v>3</v>
      </c>
      <c r="H15" s="2" t="n">
        <v>4.75</v>
      </c>
      <c r="I15" s="2" t="n">
        <v>4.23</v>
      </c>
      <c r="J15" s="4" t="n">
        <v>46219</v>
      </c>
      <c r="K15" s="5" t="s">
        <v>42</v>
      </c>
    </row>
    <row r="16" customFormat="false" ht="15" hidden="false" customHeight="false" outlineLevel="0" collapsed="false">
      <c r="A16" s="2" t="n">
        <v>15</v>
      </c>
      <c r="B16" s="2" t="s">
        <v>66</v>
      </c>
      <c r="C16" s="2" t="s">
        <v>67</v>
      </c>
      <c r="D16" s="2" t="s">
        <v>68</v>
      </c>
      <c r="E16" s="2" t="s">
        <v>14</v>
      </c>
      <c r="F16" s="2" t="s">
        <v>37</v>
      </c>
      <c r="G16" s="3" t="n">
        <v>3</v>
      </c>
      <c r="H16" s="2" t="n">
        <v>5.3</v>
      </c>
      <c r="I16" s="2" t="n">
        <v>2.2</v>
      </c>
      <c r="J16" s="4" t="n">
        <v>46221</v>
      </c>
      <c r="K16" s="5" t="s">
        <v>38</v>
      </c>
    </row>
    <row r="17" customFormat="false" ht="23.85" hidden="false" customHeight="false" outlineLevel="0" collapsed="false">
      <c r="A17" s="2" t="n">
        <v>16</v>
      </c>
      <c r="B17" s="2" t="s">
        <v>69</v>
      </c>
      <c r="C17" s="2" t="s">
        <v>70</v>
      </c>
      <c r="D17" s="2" t="s">
        <v>59</v>
      </c>
      <c r="E17" s="2" t="s">
        <v>26</v>
      </c>
      <c r="F17" s="2" t="s">
        <v>21</v>
      </c>
      <c r="G17" s="3" t="n">
        <v>3</v>
      </c>
      <c r="H17" s="2" t="n">
        <v>5.57</v>
      </c>
      <c r="I17" s="2" t="n">
        <v>3.1</v>
      </c>
      <c r="J17" s="4" t="n">
        <v>46207</v>
      </c>
      <c r="K17" s="5" t="s">
        <v>27</v>
      </c>
    </row>
    <row r="18" customFormat="false" ht="15" hidden="false" customHeight="false" outlineLevel="0" collapsed="false">
      <c r="A18" s="2" t="n">
        <v>17</v>
      </c>
      <c r="B18" s="2" t="s">
        <v>71</v>
      </c>
      <c r="C18" s="2" t="s">
        <v>72</v>
      </c>
      <c r="D18" s="2" t="s">
        <v>41</v>
      </c>
      <c r="E18" s="2" t="s">
        <v>26</v>
      </c>
      <c r="F18" s="2" t="s">
        <v>15</v>
      </c>
      <c r="G18" s="3" t="n">
        <v>3</v>
      </c>
      <c r="H18" s="2" t="n">
        <v>3.01</v>
      </c>
      <c r="I18" s="2" t="n">
        <v>5.17</v>
      </c>
      <c r="J18" s="4" t="n">
        <v>46210</v>
      </c>
      <c r="K18" s="5" t="s">
        <v>16</v>
      </c>
    </row>
    <row r="19" customFormat="false" ht="15" hidden="false" customHeight="false" outlineLevel="0" collapsed="false">
      <c r="A19" s="2" t="n">
        <v>18</v>
      </c>
      <c r="B19" s="2" t="s">
        <v>73</v>
      </c>
      <c r="C19" s="2" t="s">
        <v>74</v>
      </c>
      <c r="D19" s="2" t="s">
        <v>75</v>
      </c>
      <c r="E19" s="2" t="s">
        <v>26</v>
      </c>
      <c r="F19" s="2" t="s">
        <v>21</v>
      </c>
      <c r="G19" s="3" t="n">
        <v>3</v>
      </c>
      <c r="H19" s="2" t="n">
        <v>5.63</v>
      </c>
      <c r="I19" s="2" t="n">
        <v>3.8</v>
      </c>
      <c r="J19" s="4" t="n">
        <v>46251</v>
      </c>
      <c r="K19" s="5" t="s">
        <v>52</v>
      </c>
    </row>
    <row r="20" customFormat="false" ht="23.85" hidden="false" customHeight="false" outlineLevel="0" collapsed="false">
      <c r="A20" s="2" t="n">
        <v>19</v>
      </c>
      <c r="B20" s="2" t="s">
        <v>76</v>
      </c>
      <c r="C20" s="2" t="s">
        <v>77</v>
      </c>
      <c r="D20" s="2" t="s">
        <v>78</v>
      </c>
      <c r="E20" s="2" t="s">
        <v>26</v>
      </c>
      <c r="F20" s="2" t="s">
        <v>21</v>
      </c>
      <c r="G20" s="3" t="n">
        <v>3</v>
      </c>
      <c r="H20" s="2" t="n">
        <v>4.27</v>
      </c>
      <c r="I20" s="2" t="n">
        <v>2.8</v>
      </c>
      <c r="J20" s="4" t="n">
        <v>46227</v>
      </c>
      <c r="K20" s="5" t="s">
        <v>27</v>
      </c>
    </row>
    <row r="21" customFormat="false" ht="15" hidden="false" customHeight="false" outlineLevel="0" collapsed="false">
      <c r="A21" s="2" t="n">
        <v>20</v>
      </c>
      <c r="B21" s="2" t="s">
        <v>79</v>
      </c>
      <c r="C21" s="2" t="s">
        <v>80</v>
      </c>
      <c r="D21" s="2" t="s">
        <v>78</v>
      </c>
      <c r="E21" s="2" t="s">
        <v>26</v>
      </c>
      <c r="F21" s="2" t="s">
        <v>21</v>
      </c>
      <c r="G21" s="3" t="n">
        <v>3</v>
      </c>
      <c r="H21" s="2" t="n">
        <v>4.56</v>
      </c>
      <c r="I21" s="2" t="n">
        <v>2.93</v>
      </c>
      <c r="J21" s="4" t="n">
        <v>46251</v>
      </c>
      <c r="K21" s="5" t="s">
        <v>52</v>
      </c>
    </row>
    <row r="22" customFormat="false" ht="15" hidden="false" customHeight="false" outlineLevel="0" collapsed="false">
      <c r="A22" s="2" t="n">
        <v>21</v>
      </c>
      <c r="B22" s="2" t="s">
        <v>81</v>
      </c>
      <c r="C22" s="2" t="s">
        <v>82</v>
      </c>
      <c r="D22" s="2" t="s">
        <v>83</v>
      </c>
      <c r="E22" s="2" t="s">
        <v>84</v>
      </c>
      <c r="F22" s="2" t="s">
        <v>37</v>
      </c>
      <c r="G22" s="3" t="n">
        <v>3</v>
      </c>
      <c r="H22" s="2" t="n">
        <v>4.42</v>
      </c>
      <c r="I22" s="2" t="n">
        <v>4.93</v>
      </c>
      <c r="J22" s="4" t="n">
        <v>46208</v>
      </c>
      <c r="K22" s="5" t="s">
        <v>85</v>
      </c>
    </row>
    <row r="23" customFormat="false" ht="15" hidden="false" customHeight="false" outlineLevel="0" collapsed="false">
      <c r="A23" s="2" t="n">
        <v>22</v>
      </c>
      <c r="B23" s="2" t="s">
        <v>86</v>
      </c>
      <c r="C23" s="2" t="s">
        <v>87</v>
      </c>
      <c r="D23" s="2" t="s">
        <v>30</v>
      </c>
      <c r="E23" s="2" t="s">
        <v>14</v>
      </c>
      <c r="F23" s="2" t="s">
        <v>37</v>
      </c>
      <c r="G23" s="3" t="n">
        <v>3</v>
      </c>
      <c r="H23" s="2" t="n">
        <v>4.15</v>
      </c>
      <c r="I23" s="2" t="n">
        <v>4.14</v>
      </c>
      <c r="J23" s="4" t="n">
        <v>46241</v>
      </c>
      <c r="K23" s="5" t="s">
        <v>85</v>
      </c>
    </row>
    <row r="24" customFormat="false" ht="15" hidden="false" customHeight="false" outlineLevel="0" collapsed="false">
      <c r="A24" s="2" t="n">
        <v>23</v>
      </c>
      <c r="B24" s="2" t="s">
        <v>88</v>
      </c>
      <c r="C24" s="2" t="s">
        <v>89</v>
      </c>
      <c r="D24" s="2" t="s">
        <v>59</v>
      </c>
      <c r="E24" s="2" t="s">
        <v>26</v>
      </c>
      <c r="F24" s="2" t="s">
        <v>21</v>
      </c>
      <c r="G24" s="3" t="n">
        <v>3</v>
      </c>
      <c r="H24" s="2" t="n">
        <v>5.94</v>
      </c>
      <c r="I24" s="2" t="n">
        <v>2.88</v>
      </c>
      <c r="J24" s="4" t="n">
        <v>46228</v>
      </c>
      <c r="K24" s="5" t="s">
        <v>52</v>
      </c>
    </row>
    <row r="25" customFormat="false" ht="23.85" hidden="false" customHeight="false" outlineLevel="0" collapsed="false">
      <c r="A25" s="2" t="n">
        <v>24</v>
      </c>
      <c r="B25" s="2" t="s">
        <v>90</v>
      </c>
      <c r="C25" s="2" t="s">
        <v>91</v>
      </c>
      <c r="D25" s="2" t="s">
        <v>48</v>
      </c>
      <c r="E25" s="2" t="s">
        <v>20</v>
      </c>
      <c r="F25" s="2" t="s">
        <v>37</v>
      </c>
      <c r="G25" s="3" t="n">
        <v>2</v>
      </c>
      <c r="H25" s="2" t="n">
        <v>3.12</v>
      </c>
      <c r="I25" s="2" t="n">
        <v>2.79</v>
      </c>
      <c r="J25" s="4" t="n">
        <v>46242</v>
      </c>
      <c r="K25" s="5" t="s">
        <v>92</v>
      </c>
    </row>
    <row r="26" customFormat="false" ht="15" hidden="false" customHeight="false" outlineLevel="0" collapsed="false">
      <c r="A26" s="2" t="n">
        <v>25</v>
      </c>
      <c r="B26" s="2" t="s">
        <v>93</v>
      </c>
      <c r="C26" s="2" t="s">
        <v>94</v>
      </c>
      <c r="D26" s="2" t="s">
        <v>95</v>
      </c>
      <c r="E26" s="2" t="s">
        <v>26</v>
      </c>
      <c r="F26" s="2" t="s">
        <v>15</v>
      </c>
      <c r="G26" s="3" t="n">
        <v>3</v>
      </c>
      <c r="H26" s="2" t="n">
        <v>3.05</v>
      </c>
      <c r="I26" s="2" t="n">
        <v>4.76</v>
      </c>
      <c r="J26" s="4" t="n">
        <v>46240</v>
      </c>
      <c r="K26" s="5" t="s">
        <v>16</v>
      </c>
    </row>
    <row r="27" customFormat="false" ht="15" hidden="false" customHeight="false" outlineLevel="0" collapsed="false">
      <c r="A27" s="2" t="n">
        <v>26</v>
      </c>
      <c r="B27" s="2" t="s">
        <v>96</v>
      </c>
      <c r="C27" s="2" t="s">
        <v>97</v>
      </c>
      <c r="D27" s="2" t="s">
        <v>98</v>
      </c>
      <c r="E27" s="2" t="s">
        <v>26</v>
      </c>
      <c r="F27" s="2" t="s">
        <v>15</v>
      </c>
      <c r="G27" s="3" t="n">
        <v>3</v>
      </c>
      <c r="H27" s="2" t="n">
        <v>2.95</v>
      </c>
      <c r="I27" s="2" t="n">
        <v>4.56</v>
      </c>
      <c r="J27" s="4" t="n">
        <v>46227</v>
      </c>
      <c r="K27" s="5" t="s">
        <v>42</v>
      </c>
    </row>
    <row r="28" customFormat="false" ht="15" hidden="false" customHeight="false" outlineLevel="0" collapsed="false">
      <c r="A28" s="2" t="n">
        <v>27</v>
      </c>
      <c r="B28" s="2" t="s">
        <v>99</v>
      </c>
      <c r="C28" s="2" t="s">
        <v>100</v>
      </c>
      <c r="D28" s="2" t="s">
        <v>75</v>
      </c>
      <c r="E28" s="2" t="s">
        <v>26</v>
      </c>
      <c r="F28" s="2" t="s">
        <v>21</v>
      </c>
      <c r="G28" s="3" t="n">
        <v>3</v>
      </c>
      <c r="H28" s="2" t="n">
        <v>4.88</v>
      </c>
      <c r="I28" s="2" t="n">
        <v>4.33</v>
      </c>
      <c r="J28" s="4" t="n">
        <v>46220</v>
      </c>
      <c r="K28" s="5" t="s">
        <v>52</v>
      </c>
    </row>
    <row r="29" customFormat="false" ht="15" hidden="false" customHeight="false" outlineLevel="0" collapsed="false">
      <c r="A29" s="2" t="n">
        <v>28</v>
      </c>
      <c r="B29" s="2" t="s">
        <v>101</v>
      </c>
      <c r="C29" s="2" t="s">
        <v>102</v>
      </c>
      <c r="D29" s="2" t="s">
        <v>95</v>
      </c>
      <c r="E29" s="2" t="s">
        <v>56</v>
      </c>
      <c r="F29" s="2" t="s">
        <v>21</v>
      </c>
      <c r="G29" s="3" t="n">
        <v>3</v>
      </c>
      <c r="H29" s="2" t="n">
        <v>5.4</v>
      </c>
      <c r="I29" s="2" t="n">
        <v>2.94</v>
      </c>
      <c r="J29" s="4" t="n">
        <v>46224</v>
      </c>
      <c r="K29" s="5" t="s">
        <v>52</v>
      </c>
    </row>
    <row r="30" customFormat="false" ht="15" hidden="false" customHeight="false" outlineLevel="0" collapsed="false">
      <c r="A30" s="2" t="n">
        <v>29</v>
      </c>
      <c r="B30" s="2" t="s">
        <v>103</v>
      </c>
      <c r="C30" s="2" t="s">
        <v>104</v>
      </c>
      <c r="D30" s="2" t="s">
        <v>68</v>
      </c>
      <c r="E30" s="2" t="s">
        <v>26</v>
      </c>
      <c r="F30" s="2" t="s">
        <v>37</v>
      </c>
      <c r="G30" s="3" t="n">
        <v>4</v>
      </c>
      <c r="H30" s="2" t="n">
        <v>4.67</v>
      </c>
      <c r="I30" s="2" t="n">
        <v>5.5</v>
      </c>
      <c r="J30" s="4" t="n">
        <v>46244</v>
      </c>
      <c r="K30" s="5" t="s">
        <v>62</v>
      </c>
    </row>
    <row r="31" customFormat="false" ht="15" hidden="false" customHeight="false" outlineLevel="0" collapsed="false">
      <c r="A31" s="2" t="n">
        <v>30</v>
      </c>
      <c r="B31" s="2" t="s">
        <v>105</v>
      </c>
      <c r="C31" s="2" t="s">
        <v>106</v>
      </c>
      <c r="D31" s="2" t="s">
        <v>107</v>
      </c>
      <c r="E31" s="2" t="s">
        <v>26</v>
      </c>
      <c r="F31" s="2" t="s">
        <v>21</v>
      </c>
      <c r="G31" s="3" t="n">
        <v>3</v>
      </c>
      <c r="H31" s="2" t="n">
        <v>4.32</v>
      </c>
      <c r="I31" s="2" t="n">
        <v>4.2</v>
      </c>
      <c r="J31" s="4" t="n">
        <v>46242</v>
      </c>
      <c r="K31" s="5" t="s">
        <v>52</v>
      </c>
    </row>
    <row r="32" customFormat="false" ht="15" hidden="false" customHeight="false" outlineLevel="0" collapsed="false">
      <c r="A32" s="2" t="n">
        <v>31</v>
      </c>
      <c r="B32" s="2" t="s">
        <v>108</v>
      </c>
      <c r="C32" s="2" t="s">
        <v>109</v>
      </c>
      <c r="D32" s="2" t="s">
        <v>110</v>
      </c>
      <c r="E32" s="2" t="s">
        <v>26</v>
      </c>
      <c r="F32" s="2" t="s">
        <v>15</v>
      </c>
      <c r="G32" s="3" t="n">
        <v>3</v>
      </c>
      <c r="H32" s="2" t="n">
        <v>3.16</v>
      </c>
      <c r="I32" s="2" t="n">
        <v>5.35</v>
      </c>
      <c r="J32" s="4" t="n">
        <v>46217</v>
      </c>
      <c r="K32" s="5" t="s">
        <v>42</v>
      </c>
    </row>
    <row r="33" customFormat="false" ht="15" hidden="false" customHeight="false" outlineLevel="0" collapsed="false">
      <c r="A33" s="2" t="n">
        <v>32</v>
      </c>
      <c r="B33" s="2" t="s">
        <v>111</v>
      </c>
      <c r="C33" s="2" t="s">
        <v>112</v>
      </c>
      <c r="D33" s="2" t="s">
        <v>41</v>
      </c>
      <c r="E33" s="2" t="s">
        <v>26</v>
      </c>
      <c r="F33" s="2" t="s">
        <v>15</v>
      </c>
      <c r="G33" s="3" t="n">
        <v>3</v>
      </c>
      <c r="H33" s="2" t="n">
        <v>3.9</v>
      </c>
      <c r="I33" s="2" t="n">
        <v>5.16</v>
      </c>
      <c r="J33" s="4" t="n">
        <v>46252</v>
      </c>
      <c r="K33" s="5" t="s">
        <v>42</v>
      </c>
    </row>
    <row r="34" customFormat="false" ht="15" hidden="false" customHeight="false" outlineLevel="0" collapsed="false">
      <c r="A34" s="2" t="n">
        <v>33</v>
      </c>
      <c r="B34" s="2" t="s">
        <v>113</v>
      </c>
      <c r="C34" s="2" t="s">
        <v>114</v>
      </c>
      <c r="D34" s="2" t="s">
        <v>83</v>
      </c>
      <c r="E34" s="2" t="s">
        <v>20</v>
      </c>
      <c r="F34" s="2" t="s">
        <v>37</v>
      </c>
      <c r="G34" s="3" t="n">
        <v>3</v>
      </c>
      <c r="H34" s="2" t="n">
        <v>3.76</v>
      </c>
      <c r="I34" s="2" t="n">
        <v>3.96</v>
      </c>
      <c r="J34" s="4" t="n">
        <v>46213</v>
      </c>
      <c r="K34" s="5" t="s">
        <v>38</v>
      </c>
    </row>
    <row r="35" customFormat="false" ht="23.85" hidden="false" customHeight="false" outlineLevel="0" collapsed="false">
      <c r="A35" s="2" t="n">
        <v>34</v>
      </c>
      <c r="B35" s="2" t="s">
        <v>115</v>
      </c>
      <c r="C35" s="2" t="s">
        <v>116</v>
      </c>
      <c r="D35" s="2" t="s">
        <v>95</v>
      </c>
      <c r="E35" s="2" t="s">
        <v>56</v>
      </c>
      <c r="F35" s="2" t="s">
        <v>21</v>
      </c>
      <c r="G35" s="3" t="n">
        <v>4</v>
      </c>
      <c r="H35" s="2" t="n">
        <v>6.71</v>
      </c>
      <c r="I35" s="2" t="n">
        <v>3.18</v>
      </c>
      <c r="J35" s="4" t="n">
        <v>46206</v>
      </c>
      <c r="K35" s="5" t="s">
        <v>117</v>
      </c>
    </row>
    <row r="36" customFormat="false" ht="15" hidden="false" customHeight="false" outlineLevel="0" collapsed="false">
      <c r="A36" s="2" t="n">
        <v>35</v>
      </c>
      <c r="B36" s="2" t="s">
        <v>118</v>
      </c>
      <c r="C36" s="2" t="s">
        <v>119</v>
      </c>
      <c r="D36" s="2" t="s">
        <v>65</v>
      </c>
      <c r="E36" s="2" t="s">
        <v>45</v>
      </c>
      <c r="F36" s="2" t="s">
        <v>37</v>
      </c>
      <c r="G36" s="3" t="n">
        <v>3</v>
      </c>
      <c r="H36" s="2" t="n">
        <v>4.12</v>
      </c>
      <c r="I36" s="2" t="n">
        <v>4.65</v>
      </c>
      <c r="J36" s="4" t="n">
        <v>46222</v>
      </c>
      <c r="K36" s="5" t="s">
        <v>38</v>
      </c>
    </row>
    <row r="37" customFormat="false" ht="15" hidden="false" customHeight="false" outlineLevel="0" collapsed="false">
      <c r="A37" s="2" t="n">
        <v>36</v>
      </c>
      <c r="B37" s="2" t="s">
        <v>120</v>
      </c>
      <c r="C37" s="2" t="s">
        <v>121</v>
      </c>
      <c r="D37" s="2" t="s">
        <v>83</v>
      </c>
      <c r="E37" s="2" t="s">
        <v>26</v>
      </c>
      <c r="F37" s="2" t="s">
        <v>15</v>
      </c>
      <c r="G37" s="3" t="n">
        <v>3</v>
      </c>
      <c r="H37" s="2" t="n">
        <v>3.65</v>
      </c>
      <c r="I37" s="2" t="n">
        <v>3.68</v>
      </c>
      <c r="J37" s="4" t="n">
        <v>46251</v>
      </c>
      <c r="K37" s="5" t="s">
        <v>42</v>
      </c>
    </row>
    <row r="38" customFormat="false" ht="15" hidden="false" customHeight="false" outlineLevel="0" collapsed="false">
      <c r="A38" s="2" t="n">
        <v>37</v>
      </c>
      <c r="B38" s="2" t="s">
        <v>122</v>
      </c>
      <c r="C38" s="2" t="s">
        <v>123</v>
      </c>
      <c r="D38" s="2" t="s">
        <v>59</v>
      </c>
      <c r="E38" s="2" t="s">
        <v>45</v>
      </c>
      <c r="F38" s="2" t="s">
        <v>15</v>
      </c>
      <c r="G38" s="3" t="n">
        <v>3</v>
      </c>
      <c r="H38" s="2" t="n">
        <v>3.99</v>
      </c>
      <c r="I38" s="2" t="n">
        <v>3.22</v>
      </c>
      <c r="J38" s="4" t="n">
        <v>46242</v>
      </c>
      <c r="K38" s="5" t="s">
        <v>42</v>
      </c>
    </row>
    <row r="39" customFormat="false" ht="15" hidden="false" customHeight="false" outlineLevel="0" collapsed="false">
      <c r="A39" s="2" t="n">
        <v>38</v>
      </c>
      <c r="B39" s="2" t="s">
        <v>124</v>
      </c>
      <c r="C39" s="2" t="s">
        <v>125</v>
      </c>
      <c r="D39" s="2" t="s">
        <v>95</v>
      </c>
      <c r="E39" s="2" t="s">
        <v>14</v>
      </c>
      <c r="F39" s="2" t="s">
        <v>37</v>
      </c>
      <c r="G39" s="3" t="n">
        <v>3</v>
      </c>
      <c r="H39" s="2" t="n">
        <v>4.03</v>
      </c>
      <c r="I39" s="2" t="n">
        <v>4.8</v>
      </c>
      <c r="J39" s="4" t="n">
        <v>46235</v>
      </c>
      <c r="K39" s="5" t="s">
        <v>38</v>
      </c>
    </row>
    <row r="40" customFormat="false" ht="23.85" hidden="false" customHeight="false" outlineLevel="0" collapsed="false">
      <c r="A40" s="2" t="n">
        <v>39</v>
      </c>
      <c r="B40" s="2" t="s">
        <v>126</v>
      </c>
      <c r="C40" s="2" t="s">
        <v>127</v>
      </c>
      <c r="D40" s="2" t="s">
        <v>59</v>
      </c>
      <c r="E40" s="2" t="s">
        <v>26</v>
      </c>
      <c r="F40" s="2" t="s">
        <v>15</v>
      </c>
      <c r="G40" s="3" t="n">
        <v>4</v>
      </c>
      <c r="H40" s="2" t="n">
        <v>5.65</v>
      </c>
      <c r="I40" s="2" t="n">
        <v>4.9</v>
      </c>
      <c r="J40" s="4" t="n">
        <v>46217</v>
      </c>
      <c r="K40" s="5" t="s">
        <v>31</v>
      </c>
    </row>
    <row r="41" customFormat="false" ht="15" hidden="false" customHeight="false" outlineLevel="0" collapsed="false">
      <c r="A41" s="2" t="n">
        <v>40</v>
      </c>
      <c r="B41" s="2" t="s">
        <v>128</v>
      </c>
      <c r="C41" s="2" t="s">
        <v>129</v>
      </c>
      <c r="D41" s="2" t="s">
        <v>36</v>
      </c>
      <c r="E41" s="2" t="s">
        <v>84</v>
      </c>
      <c r="F41" s="2" t="s">
        <v>37</v>
      </c>
      <c r="G41" s="3" t="n">
        <v>3</v>
      </c>
      <c r="H41" s="2" t="n">
        <v>3.36</v>
      </c>
      <c r="I41" s="2" t="n">
        <v>4.34</v>
      </c>
      <c r="J41" s="4" t="n">
        <v>46219</v>
      </c>
      <c r="K41" s="5" t="s">
        <v>85</v>
      </c>
    </row>
    <row r="42" customFormat="false" ht="15" hidden="false" customHeight="false" outlineLevel="0" collapsed="false">
      <c r="A42" s="2" t="n">
        <v>41</v>
      </c>
      <c r="B42" s="2" t="s">
        <v>130</v>
      </c>
      <c r="C42" s="2" t="s">
        <v>131</v>
      </c>
      <c r="D42" s="2" t="s">
        <v>98</v>
      </c>
      <c r="E42" s="2" t="s">
        <v>26</v>
      </c>
      <c r="F42" s="2" t="s">
        <v>15</v>
      </c>
      <c r="G42" s="3" t="n">
        <v>3</v>
      </c>
      <c r="H42" s="2" t="n">
        <v>3.16</v>
      </c>
      <c r="I42" s="2" t="n">
        <v>5.31</v>
      </c>
      <c r="J42" s="4" t="n">
        <v>46242</v>
      </c>
      <c r="K42" s="5" t="s">
        <v>42</v>
      </c>
    </row>
    <row r="43" customFormat="false" ht="15" hidden="false" customHeight="false" outlineLevel="0" collapsed="false">
      <c r="A43" s="2" t="n">
        <v>42</v>
      </c>
      <c r="B43" s="2" t="s">
        <v>132</v>
      </c>
      <c r="C43" s="2" t="s">
        <v>133</v>
      </c>
      <c r="D43" s="2" t="s">
        <v>25</v>
      </c>
      <c r="E43" s="2" t="s">
        <v>26</v>
      </c>
      <c r="F43" s="2" t="s">
        <v>37</v>
      </c>
      <c r="G43" s="3" t="n">
        <v>3</v>
      </c>
      <c r="H43" s="2" t="n">
        <v>5.08</v>
      </c>
      <c r="I43" s="2" t="n">
        <v>3.08</v>
      </c>
      <c r="J43" s="4" t="n">
        <v>46244</v>
      </c>
      <c r="K43" s="5" t="s">
        <v>38</v>
      </c>
    </row>
    <row r="44" customFormat="false" ht="15" hidden="false" customHeight="false" outlineLevel="0" collapsed="false">
      <c r="A44" s="2" t="n">
        <v>43</v>
      </c>
      <c r="B44" s="2" t="s">
        <v>134</v>
      </c>
      <c r="C44" s="2" t="s">
        <v>135</v>
      </c>
      <c r="D44" s="2" t="s">
        <v>83</v>
      </c>
      <c r="E44" s="2" t="s">
        <v>14</v>
      </c>
      <c r="F44" s="2" t="s">
        <v>37</v>
      </c>
      <c r="G44" s="3" t="n">
        <v>4</v>
      </c>
      <c r="H44" s="2" t="n">
        <v>5.69</v>
      </c>
      <c r="I44" s="2" t="n">
        <v>3.93</v>
      </c>
      <c r="J44" s="4" t="n">
        <v>46213</v>
      </c>
      <c r="K44" s="5" t="s">
        <v>62</v>
      </c>
    </row>
    <row r="45" customFormat="false" ht="15" hidden="false" customHeight="false" outlineLevel="0" collapsed="false">
      <c r="A45" s="2" t="n">
        <v>44</v>
      </c>
      <c r="B45" s="2" t="s">
        <v>136</v>
      </c>
      <c r="C45" s="2" t="s">
        <v>137</v>
      </c>
      <c r="D45" s="2" t="s">
        <v>98</v>
      </c>
      <c r="E45" s="2" t="s">
        <v>56</v>
      </c>
      <c r="F45" s="2" t="s">
        <v>21</v>
      </c>
      <c r="G45" s="3" t="n">
        <v>3</v>
      </c>
      <c r="H45" s="2" t="n">
        <v>5.55</v>
      </c>
      <c r="I45" s="2" t="n">
        <v>3.4</v>
      </c>
      <c r="J45" s="4" t="n">
        <v>46244</v>
      </c>
      <c r="K45" s="5" t="s">
        <v>52</v>
      </c>
    </row>
    <row r="46" customFormat="false" ht="15" hidden="false" customHeight="false" outlineLevel="0" collapsed="false">
      <c r="A46" s="2" t="n">
        <v>45</v>
      </c>
      <c r="B46" s="2" t="s">
        <v>138</v>
      </c>
      <c r="C46" s="2" t="s">
        <v>139</v>
      </c>
      <c r="D46" s="2" t="s">
        <v>95</v>
      </c>
      <c r="E46" s="2" t="s">
        <v>26</v>
      </c>
      <c r="F46" s="2" t="s">
        <v>37</v>
      </c>
      <c r="G46" s="3" t="n">
        <v>4</v>
      </c>
      <c r="H46" s="2" t="n">
        <v>6.38</v>
      </c>
      <c r="I46" s="2" t="n">
        <v>4.04</v>
      </c>
      <c r="J46" s="4" t="n">
        <v>46250</v>
      </c>
      <c r="K46" s="5" t="s">
        <v>62</v>
      </c>
    </row>
    <row r="47" customFormat="false" ht="15" hidden="false" customHeight="false" outlineLevel="0" collapsed="false">
      <c r="A47" s="2" t="n">
        <v>46</v>
      </c>
      <c r="B47" s="2" t="s">
        <v>140</v>
      </c>
      <c r="C47" s="2" t="s">
        <v>141</v>
      </c>
      <c r="D47" s="2" t="s">
        <v>68</v>
      </c>
      <c r="E47" s="2" t="s">
        <v>20</v>
      </c>
      <c r="F47" s="2" t="s">
        <v>37</v>
      </c>
      <c r="G47" s="3" t="n">
        <v>3</v>
      </c>
      <c r="H47" s="2" t="n">
        <v>3.61</v>
      </c>
      <c r="I47" s="2" t="n">
        <v>4.54</v>
      </c>
      <c r="J47" s="4" t="n">
        <v>46219</v>
      </c>
      <c r="K47" s="5" t="s">
        <v>85</v>
      </c>
    </row>
    <row r="48" customFormat="false" ht="23.85" hidden="false" customHeight="false" outlineLevel="0" collapsed="false">
      <c r="A48" s="2" t="n">
        <v>47</v>
      </c>
      <c r="B48" s="2" t="s">
        <v>142</v>
      </c>
      <c r="C48" s="2" t="s">
        <v>143</v>
      </c>
      <c r="D48" s="2" t="s">
        <v>144</v>
      </c>
      <c r="E48" s="2" t="s">
        <v>84</v>
      </c>
      <c r="F48" s="2" t="s">
        <v>21</v>
      </c>
      <c r="G48" s="3" t="n">
        <v>3</v>
      </c>
      <c r="H48" s="2" t="n">
        <v>4.74</v>
      </c>
      <c r="I48" s="2" t="n">
        <v>4.64</v>
      </c>
      <c r="J48" s="4" t="n">
        <v>46213</v>
      </c>
      <c r="K48" s="5" t="s">
        <v>27</v>
      </c>
    </row>
    <row r="49" customFormat="false" ht="23.85" hidden="false" customHeight="false" outlineLevel="0" collapsed="false">
      <c r="A49" s="2" t="n">
        <v>48</v>
      </c>
      <c r="B49" s="2" t="s">
        <v>145</v>
      </c>
      <c r="C49" s="2" t="s">
        <v>146</v>
      </c>
      <c r="D49" s="2" t="s">
        <v>147</v>
      </c>
      <c r="E49" s="2" t="s">
        <v>84</v>
      </c>
      <c r="F49" s="2" t="s">
        <v>21</v>
      </c>
      <c r="G49" s="3" t="n">
        <v>3</v>
      </c>
      <c r="H49" s="2" t="n">
        <v>5.34</v>
      </c>
      <c r="I49" s="2" t="n">
        <v>3.18</v>
      </c>
      <c r="J49" s="4" t="n">
        <v>46235</v>
      </c>
      <c r="K49" s="5" t="s">
        <v>27</v>
      </c>
    </row>
    <row r="50" customFormat="false" ht="15" hidden="false" customHeight="false" outlineLevel="0" collapsed="false">
      <c r="A50" s="2" t="n">
        <v>49</v>
      </c>
      <c r="B50" s="2" t="s">
        <v>148</v>
      </c>
      <c r="C50" s="2" t="s">
        <v>149</v>
      </c>
      <c r="D50" s="2" t="s">
        <v>75</v>
      </c>
      <c r="E50" s="2" t="s">
        <v>26</v>
      </c>
      <c r="F50" s="2" t="s">
        <v>21</v>
      </c>
      <c r="G50" s="3" t="n">
        <v>3</v>
      </c>
      <c r="H50" s="2" t="n">
        <v>4.89</v>
      </c>
      <c r="I50" s="2" t="n">
        <v>4.18</v>
      </c>
      <c r="J50" s="4" t="n">
        <v>46241</v>
      </c>
      <c r="K50" s="5" t="s">
        <v>52</v>
      </c>
    </row>
    <row r="51" customFormat="false" ht="23.85" hidden="false" customHeight="false" outlineLevel="0" collapsed="false">
      <c r="A51" s="2" t="n">
        <v>50</v>
      </c>
      <c r="B51" s="2" t="s">
        <v>150</v>
      </c>
      <c r="C51" s="2" t="s">
        <v>151</v>
      </c>
      <c r="D51" s="2" t="s">
        <v>98</v>
      </c>
      <c r="E51" s="2" t="s">
        <v>26</v>
      </c>
      <c r="F51" s="2" t="s">
        <v>21</v>
      </c>
      <c r="G51" s="3" t="n">
        <v>3</v>
      </c>
      <c r="H51" s="2" t="n">
        <v>5.77</v>
      </c>
      <c r="I51" s="2" t="n">
        <v>3.28</v>
      </c>
      <c r="J51" s="4" t="n">
        <v>46246</v>
      </c>
      <c r="K51" s="5" t="s">
        <v>27</v>
      </c>
    </row>
    <row r="52" customFormat="false" ht="15" hidden="false" customHeight="false" outlineLevel="0" collapsed="false">
      <c r="A52" s="2" t="n">
        <v>51</v>
      </c>
      <c r="B52" s="2" t="s">
        <v>152</v>
      </c>
      <c r="C52" s="2" t="s">
        <v>153</v>
      </c>
      <c r="D52" s="2" t="s">
        <v>51</v>
      </c>
      <c r="E52" s="2" t="s">
        <v>14</v>
      </c>
      <c r="F52" s="2" t="s">
        <v>15</v>
      </c>
      <c r="G52" s="3" t="n">
        <v>3</v>
      </c>
      <c r="H52" s="2" t="n">
        <v>3.86</v>
      </c>
      <c r="I52" s="2" t="n">
        <v>5.24</v>
      </c>
      <c r="J52" s="4" t="n">
        <v>46214</v>
      </c>
      <c r="K52" s="5" t="s">
        <v>42</v>
      </c>
    </row>
    <row r="53" customFormat="false" ht="23.85" hidden="false" customHeight="false" outlineLevel="0" collapsed="false">
      <c r="A53" s="2" t="n">
        <v>52</v>
      </c>
      <c r="B53" s="2" t="s">
        <v>154</v>
      </c>
      <c r="C53" s="2" t="s">
        <v>155</v>
      </c>
      <c r="D53" s="2" t="s">
        <v>156</v>
      </c>
      <c r="E53" s="2" t="s">
        <v>26</v>
      </c>
      <c r="F53" s="2" t="s">
        <v>21</v>
      </c>
      <c r="G53" s="3" t="n">
        <v>3</v>
      </c>
      <c r="H53" s="2" t="n">
        <v>3.94</v>
      </c>
      <c r="I53" s="2" t="n">
        <v>2.94</v>
      </c>
      <c r="J53" s="4" t="n">
        <v>46219</v>
      </c>
      <c r="K53" s="5" t="s">
        <v>27</v>
      </c>
    </row>
    <row r="54" customFormat="false" ht="23.85" hidden="false" customHeight="false" outlineLevel="0" collapsed="false">
      <c r="A54" s="2" t="n">
        <v>53</v>
      </c>
      <c r="B54" s="2" t="s">
        <v>157</v>
      </c>
      <c r="C54" s="2" t="s">
        <v>158</v>
      </c>
      <c r="D54" s="2" t="s">
        <v>48</v>
      </c>
      <c r="E54" s="2" t="s">
        <v>14</v>
      </c>
      <c r="F54" s="2" t="s">
        <v>37</v>
      </c>
      <c r="G54" s="3" t="n">
        <v>4</v>
      </c>
      <c r="H54" s="2" t="n">
        <v>4.26</v>
      </c>
      <c r="I54" s="2" t="n">
        <v>5.77</v>
      </c>
      <c r="J54" s="4" t="n">
        <v>46223</v>
      </c>
      <c r="K54" s="5" t="s">
        <v>159</v>
      </c>
    </row>
    <row r="55" customFormat="false" ht="15" hidden="false" customHeight="false" outlineLevel="0" collapsed="false">
      <c r="A55" s="2" t="n">
        <v>54</v>
      </c>
      <c r="B55" s="2" t="s">
        <v>160</v>
      </c>
      <c r="C55" s="2" t="s">
        <v>161</v>
      </c>
      <c r="D55" s="2" t="s">
        <v>41</v>
      </c>
      <c r="E55" s="2" t="s">
        <v>26</v>
      </c>
      <c r="F55" s="2" t="s">
        <v>37</v>
      </c>
      <c r="G55" s="3" t="n">
        <v>3</v>
      </c>
      <c r="H55" s="2" t="n">
        <v>3.01</v>
      </c>
      <c r="I55" s="2" t="n">
        <v>4.35</v>
      </c>
      <c r="J55" s="4" t="n">
        <v>46222</v>
      </c>
      <c r="K55" s="5" t="s">
        <v>85</v>
      </c>
    </row>
    <row r="56" customFormat="false" ht="15" hidden="false" customHeight="false" outlineLevel="0" collapsed="false">
      <c r="A56" s="2" t="n">
        <v>55</v>
      </c>
      <c r="B56" s="2" t="s">
        <v>162</v>
      </c>
      <c r="C56" s="2" t="s">
        <v>163</v>
      </c>
      <c r="D56" s="2" t="s">
        <v>19</v>
      </c>
      <c r="E56" s="2" t="s">
        <v>26</v>
      </c>
      <c r="F56" s="2" t="s">
        <v>37</v>
      </c>
      <c r="G56" s="3" t="n">
        <v>3</v>
      </c>
      <c r="H56" s="2" t="n">
        <v>3.34</v>
      </c>
      <c r="I56" s="2" t="n">
        <v>4.42</v>
      </c>
      <c r="J56" s="4" t="n">
        <v>46245</v>
      </c>
      <c r="K56" s="5" t="s">
        <v>85</v>
      </c>
    </row>
    <row r="57" customFormat="false" ht="23.85" hidden="false" customHeight="false" outlineLevel="0" collapsed="false">
      <c r="A57" s="2" t="n">
        <v>56</v>
      </c>
      <c r="B57" s="2" t="s">
        <v>164</v>
      </c>
      <c r="C57" s="2" t="s">
        <v>165</v>
      </c>
      <c r="D57" s="2" t="s">
        <v>110</v>
      </c>
      <c r="E57" s="2" t="s">
        <v>166</v>
      </c>
      <c r="F57" s="2" t="s">
        <v>21</v>
      </c>
      <c r="G57" s="3" t="n">
        <v>4</v>
      </c>
      <c r="H57" s="2" t="n">
        <v>5.6</v>
      </c>
      <c r="I57" s="2" t="n">
        <v>4.04</v>
      </c>
      <c r="J57" s="4" t="n">
        <v>46248</v>
      </c>
      <c r="K57" s="5" t="s">
        <v>117</v>
      </c>
    </row>
    <row r="58" customFormat="false" ht="23.85" hidden="false" customHeight="false" outlineLevel="0" collapsed="false">
      <c r="A58" s="2" t="n">
        <v>57</v>
      </c>
      <c r="B58" s="2" t="s">
        <v>167</v>
      </c>
      <c r="C58" s="2" t="s">
        <v>168</v>
      </c>
      <c r="D58" s="2" t="s">
        <v>144</v>
      </c>
      <c r="E58" s="2" t="s">
        <v>20</v>
      </c>
      <c r="F58" s="2" t="s">
        <v>37</v>
      </c>
      <c r="G58" s="3" t="n">
        <v>4</v>
      </c>
      <c r="H58" s="2" t="n">
        <v>4.93</v>
      </c>
      <c r="I58" s="2" t="n">
        <v>5.58</v>
      </c>
      <c r="J58" s="4" t="n">
        <v>46248</v>
      </c>
      <c r="K58" s="5" t="s">
        <v>159</v>
      </c>
    </row>
    <row r="59" customFormat="false" ht="15" hidden="false" customHeight="false" outlineLevel="0" collapsed="false">
      <c r="A59" s="2" t="n">
        <v>58</v>
      </c>
      <c r="B59" s="2" t="s">
        <v>169</v>
      </c>
      <c r="C59" s="2" t="s">
        <v>170</v>
      </c>
      <c r="D59" s="2" t="s">
        <v>78</v>
      </c>
      <c r="E59" s="2" t="s">
        <v>26</v>
      </c>
      <c r="F59" s="2" t="s">
        <v>37</v>
      </c>
      <c r="G59" s="3" t="n">
        <v>3</v>
      </c>
      <c r="H59" s="2" t="n">
        <v>4.44</v>
      </c>
      <c r="I59" s="2" t="n">
        <v>4.37</v>
      </c>
      <c r="J59" s="4" t="n">
        <v>46214</v>
      </c>
      <c r="K59" s="5" t="s">
        <v>38</v>
      </c>
    </row>
    <row r="60" customFormat="false" ht="15" hidden="false" customHeight="false" outlineLevel="0" collapsed="false">
      <c r="A60" s="2" t="n">
        <v>59</v>
      </c>
      <c r="B60" s="2" t="s">
        <v>171</v>
      </c>
      <c r="C60" s="2" t="s">
        <v>172</v>
      </c>
      <c r="D60" s="2" t="s">
        <v>144</v>
      </c>
      <c r="E60" s="2" t="s">
        <v>26</v>
      </c>
      <c r="F60" s="2" t="s">
        <v>37</v>
      </c>
      <c r="G60" s="3" t="n">
        <v>3</v>
      </c>
      <c r="H60" s="2" t="n">
        <v>4.37</v>
      </c>
      <c r="I60" s="2" t="n">
        <v>4.12</v>
      </c>
      <c r="J60" s="4" t="n">
        <v>46229</v>
      </c>
      <c r="K60" s="5" t="s">
        <v>38</v>
      </c>
    </row>
    <row r="61" customFormat="false" ht="23.85" hidden="false" customHeight="false" outlineLevel="0" collapsed="false">
      <c r="A61" s="2" t="n">
        <v>60</v>
      </c>
      <c r="B61" s="2" t="s">
        <v>173</v>
      </c>
      <c r="C61" s="2" t="s">
        <v>174</v>
      </c>
      <c r="D61" s="2" t="s">
        <v>147</v>
      </c>
      <c r="E61" s="2" t="s">
        <v>26</v>
      </c>
      <c r="F61" s="2" t="s">
        <v>15</v>
      </c>
      <c r="G61" s="3" t="n">
        <v>4</v>
      </c>
      <c r="H61" s="2" t="n">
        <v>4.12</v>
      </c>
      <c r="I61" s="2" t="n">
        <v>6.17</v>
      </c>
      <c r="J61" s="4" t="n">
        <v>46208</v>
      </c>
      <c r="K61" s="5" t="s">
        <v>31</v>
      </c>
    </row>
    <row r="62" customFormat="false" ht="15" hidden="false" customHeight="false" outlineLevel="0" collapsed="false">
      <c r="A62" s="2" t="n">
        <v>61</v>
      </c>
      <c r="B62" s="2" t="s">
        <v>175</v>
      </c>
      <c r="C62" s="2" t="s">
        <v>176</v>
      </c>
      <c r="D62" s="2" t="s">
        <v>147</v>
      </c>
      <c r="E62" s="2" t="s">
        <v>26</v>
      </c>
      <c r="F62" s="2" t="s">
        <v>37</v>
      </c>
      <c r="G62" s="3" t="n">
        <v>3</v>
      </c>
      <c r="H62" s="2" t="n">
        <v>5.32</v>
      </c>
      <c r="I62" s="2" t="n">
        <v>3.58</v>
      </c>
      <c r="J62" s="4" t="n">
        <v>46219</v>
      </c>
      <c r="K62" s="5" t="s">
        <v>85</v>
      </c>
    </row>
    <row r="63" customFormat="false" ht="15" hidden="false" customHeight="false" outlineLevel="0" collapsed="false">
      <c r="A63" s="2" t="n">
        <v>62</v>
      </c>
      <c r="B63" s="2" t="s">
        <v>177</v>
      </c>
      <c r="C63" s="2" t="s">
        <v>178</v>
      </c>
      <c r="D63" s="2" t="s">
        <v>75</v>
      </c>
      <c r="E63" s="2" t="s">
        <v>26</v>
      </c>
      <c r="F63" s="2" t="s">
        <v>15</v>
      </c>
      <c r="G63" s="3" t="n">
        <v>3</v>
      </c>
      <c r="H63" s="2" t="n">
        <v>3.06</v>
      </c>
      <c r="I63" s="2" t="n">
        <v>5.8</v>
      </c>
      <c r="J63" s="4" t="n">
        <v>46225</v>
      </c>
      <c r="K63" s="5" t="s">
        <v>16</v>
      </c>
    </row>
    <row r="64" customFormat="false" ht="23.85" hidden="false" customHeight="false" outlineLevel="0" collapsed="false">
      <c r="A64" s="2" t="n">
        <v>63</v>
      </c>
      <c r="B64" s="2" t="s">
        <v>179</v>
      </c>
      <c r="C64" s="2" t="s">
        <v>180</v>
      </c>
      <c r="D64" s="2" t="s">
        <v>51</v>
      </c>
      <c r="E64" s="2" t="s">
        <v>181</v>
      </c>
      <c r="F64" s="2" t="s">
        <v>15</v>
      </c>
      <c r="G64" s="3" t="n">
        <v>4</v>
      </c>
      <c r="H64" s="2" t="n">
        <v>5.63</v>
      </c>
      <c r="I64" s="2" t="n">
        <v>4.95</v>
      </c>
      <c r="J64" s="4" t="n">
        <v>46235</v>
      </c>
      <c r="K64" s="5" t="s">
        <v>31</v>
      </c>
    </row>
    <row r="65" customFormat="false" ht="15" hidden="false" customHeight="false" outlineLevel="0" collapsed="false">
      <c r="A65" s="2" t="n">
        <v>64</v>
      </c>
      <c r="B65" s="2" t="s">
        <v>182</v>
      </c>
      <c r="C65" s="2" t="s">
        <v>183</v>
      </c>
      <c r="D65" s="2" t="s">
        <v>184</v>
      </c>
      <c r="E65" s="2" t="s">
        <v>166</v>
      </c>
      <c r="F65" s="2" t="s">
        <v>15</v>
      </c>
      <c r="G65" s="3" t="n">
        <v>3</v>
      </c>
      <c r="H65" s="2" t="n">
        <v>3.41</v>
      </c>
      <c r="I65" s="2" t="n">
        <v>4.96</v>
      </c>
      <c r="J65" s="4" t="n">
        <v>46222</v>
      </c>
      <c r="K65" s="5" t="s">
        <v>42</v>
      </c>
    </row>
    <row r="66" customFormat="false" ht="23.85" hidden="false" customHeight="false" outlineLevel="0" collapsed="false">
      <c r="A66" s="2" t="n">
        <v>65</v>
      </c>
      <c r="B66" s="2" t="s">
        <v>185</v>
      </c>
      <c r="C66" s="2" t="s">
        <v>186</v>
      </c>
      <c r="D66" s="2" t="s">
        <v>156</v>
      </c>
      <c r="E66" s="2" t="s">
        <v>26</v>
      </c>
      <c r="F66" s="2" t="s">
        <v>21</v>
      </c>
      <c r="G66" s="3" t="n">
        <v>4</v>
      </c>
      <c r="H66" s="2" t="n">
        <v>5.97</v>
      </c>
      <c r="I66" s="2" t="n">
        <v>4.41</v>
      </c>
      <c r="J66" s="4" t="n">
        <v>46244</v>
      </c>
      <c r="K66" s="5" t="s">
        <v>22</v>
      </c>
    </row>
    <row r="67" customFormat="false" ht="15" hidden="false" customHeight="false" outlineLevel="0" collapsed="false">
      <c r="A67" s="2" t="n">
        <v>66</v>
      </c>
      <c r="B67" s="2" t="s">
        <v>187</v>
      </c>
      <c r="C67" s="2" t="s">
        <v>188</v>
      </c>
      <c r="D67" s="2" t="s">
        <v>144</v>
      </c>
      <c r="E67" s="2" t="s">
        <v>26</v>
      </c>
      <c r="F67" s="2" t="s">
        <v>37</v>
      </c>
      <c r="G67" s="3" t="n">
        <v>4</v>
      </c>
      <c r="H67" s="2" t="n">
        <v>5.21</v>
      </c>
      <c r="I67" s="2" t="n">
        <v>4.37</v>
      </c>
      <c r="J67" s="4" t="n">
        <v>46218</v>
      </c>
      <c r="K67" s="5" t="s">
        <v>62</v>
      </c>
    </row>
    <row r="68" customFormat="false" ht="23.85" hidden="false" customHeight="false" outlineLevel="0" collapsed="false">
      <c r="A68" s="2" t="n">
        <v>67</v>
      </c>
      <c r="B68" s="2" t="s">
        <v>189</v>
      </c>
      <c r="C68" s="2" t="s">
        <v>190</v>
      </c>
      <c r="D68" s="2" t="s">
        <v>65</v>
      </c>
      <c r="E68" s="2" t="s">
        <v>14</v>
      </c>
      <c r="F68" s="2" t="s">
        <v>37</v>
      </c>
      <c r="G68" s="3" t="n">
        <v>4</v>
      </c>
      <c r="H68" s="2" t="n">
        <v>5.01</v>
      </c>
      <c r="I68" s="2" t="n">
        <v>4.52</v>
      </c>
      <c r="J68" s="4" t="n">
        <v>46220</v>
      </c>
      <c r="K68" s="5" t="s">
        <v>159</v>
      </c>
    </row>
    <row r="69" customFormat="false" ht="15" hidden="false" customHeight="false" outlineLevel="0" collapsed="false">
      <c r="A69" s="2" t="n">
        <v>68</v>
      </c>
      <c r="B69" s="2" t="s">
        <v>191</v>
      </c>
      <c r="C69" s="2" t="s">
        <v>12</v>
      </c>
      <c r="D69" s="2" t="s">
        <v>68</v>
      </c>
      <c r="E69" s="2" t="s">
        <v>26</v>
      </c>
      <c r="F69" s="2" t="s">
        <v>15</v>
      </c>
      <c r="G69" s="3" t="n">
        <v>2</v>
      </c>
      <c r="H69" s="2" t="n">
        <v>1.61</v>
      </c>
      <c r="I69" s="2" t="n">
        <v>4.45</v>
      </c>
      <c r="J69" s="4" t="n">
        <v>46240</v>
      </c>
      <c r="K69" s="5" t="s">
        <v>192</v>
      </c>
    </row>
    <row r="70" customFormat="false" ht="15" hidden="false" customHeight="false" outlineLevel="0" collapsed="false">
      <c r="A70" s="2" t="n">
        <v>69</v>
      </c>
      <c r="B70" s="2" t="s">
        <v>193</v>
      </c>
      <c r="C70" s="2" t="s">
        <v>194</v>
      </c>
      <c r="D70" s="2" t="s">
        <v>68</v>
      </c>
      <c r="E70" s="2" t="s">
        <v>56</v>
      </c>
      <c r="F70" s="2" t="s">
        <v>15</v>
      </c>
      <c r="G70" s="3" t="n">
        <v>3</v>
      </c>
      <c r="H70" s="2" t="n">
        <v>3.74</v>
      </c>
      <c r="I70" s="2" t="n">
        <v>4.17</v>
      </c>
      <c r="J70" s="4" t="n">
        <v>46210</v>
      </c>
      <c r="K70" s="5" t="s">
        <v>16</v>
      </c>
    </row>
    <row r="71" customFormat="false" ht="15" hidden="false" customHeight="false" outlineLevel="0" collapsed="false">
      <c r="A71" s="2" t="n">
        <v>70</v>
      </c>
      <c r="B71" s="2" t="s">
        <v>195</v>
      </c>
      <c r="C71" s="2" t="s">
        <v>196</v>
      </c>
      <c r="D71" s="2" t="s">
        <v>83</v>
      </c>
      <c r="E71" s="2" t="s">
        <v>26</v>
      </c>
      <c r="F71" s="2" t="s">
        <v>37</v>
      </c>
      <c r="G71" s="3" t="n">
        <v>3</v>
      </c>
      <c r="H71" s="2" t="n">
        <v>4.05</v>
      </c>
      <c r="I71" s="2" t="n">
        <v>5.09</v>
      </c>
      <c r="J71" s="4" t="n">
        <v>46209</v>
      </c>
      <c r="K71" s="5" t="s">
        <v>85</v>
      </c>
    </row>
    <row r="72" customFormat="false" ht="15" hidden="false" customHeight="false" outlineLevel="0" collapsed="false">
      <c r="A72" s="2" t="n">
        <v>71</v>
      </c>
      <c r="B72" s="2" t="s">
        <v>197</v>
      </c>
      <c r="C72" s="2" t="s">
        <v>198</v>
      </c>
      <c r="D72" s="2" t="s">
        <v>184</v>
      </c>
      <c r="E72" s="2" t="s">
        <v>26</v>
      </c>
      <c r="F72" s="2" t="s">
        <v>37</v>
      </c>
      <c r="G72" s="3" t="n">
        <v>3</v>
      </c>
      <c r="H72" s="2" t="n">
        <v>3.49</v>
      </c>
      <c r="I72" s="2" t="n">
        <v>4.6</v>
      </c>
      <c r="J72" s="4" t="n">
        <v>46233</v>
      </c>
      <c r="K72" s="5" t="s">
        <v>85</v>
      </c>
    </row>
    <row r="73" customFormat="false" ht="15" hidden="false" customHeight="false" outlineLevel="0" collapsed="false">
      <c r="A73" s="2" t="n">
        <v>72</v>
      </c>
      <c r="B73" s="2" t="s">
        <v>199</v>
      </c>
      <c r="C73" s="2" t="s">
        <v>200</v>
      </c>
      <c r="D73" s="2" t="s">
        <v>144</v>
      </c>
      <c r="E73" s="2" t="s">
        <v>26</v>
      </c>
      <c r="F73" s="2" t="s">
        <v>15</v>
      </c>
      <c r="G73" s="3" t="n">
        <v>3</v>
      </c>
      <c r="H73" s="2" t="n">
        <v>5.2</v>
      </c>
      <c r="I73" s="2" t="n">
        <v>4.26</v>
      </c>
      <c r="J73" s="4" t="n">
        <v>46250</v>
      </c>
      <c r="K73" s="5" t="s">
        <v>42</v>
      </c>
    </row>
    <row r="74" customFormat="false" ht="15" hidden="false" customHeight="false" outlineLevel="0" collapsed="false">
      <c r="A74" s="2" t="n">
        <v>73</v>
      </c>
      <c r="B74" s="2" t="s">
        <v>201</v>
      </c>
      <c r="C74" s="2" t="s">
        <v>202</v>
      </c>
      <c r="D74" s="2" t="s">
        <v>59</v>
      </c>
      <c r="E74" s="2" t="s">
        <v>26</v>
      </c>
      <c r="F74" s="2" t="s">
        <v>37</v>
      </c>
      <c r="G74" s="3" t="n">
        <v>4</v>
      </c>
      <c r="H74" s="2" t="n">
        <v>5.98</v>
      </c>
      <c r="I74" s="2" t="n">
        <v>3.79</v>
      </c>
      <c r="J74" s="4" t="n">
        <v>46222</v>
      </c>
      <c r="K74" s="5" t="s">
        <v>62</v>
      </c>
    </row>
    <row r="75" customFormat="false" ht="15" hidden="false" customHeight="false" outlineLevel="0" collapsed="false">
      <c r="A75" s="2" t="n">
        <v>74</v>
      </c>
      <c r="B75" s="2" t="s">
        <v>203</v>
      </c>
      <c r="C75" s="2" t="s">
        <v>204</v>
      </c>
      <c r="D75" s="2" t="s">
        <v>98</v>
      </c>
      <c r="E75" s="2" t="s">
        <v>20</v>
      </c>
      <c r="F75" s="2" t="s">
        <v>15</v>
      </c>
      <c r="G75" s="3" t="n">
        <v>3</v>
      </c>
      <c r="H75" s="2" t="n">
        <v>4.52</v>
      </c>
      <c r="I75" s="2" t="n">
        <v>4.66</v>
      </c>
      <c r="J75" s="4" t="n">
        <v>46252</v>
      </c>
      <c r="K75" s="5" t="s">
        <v>42</v>
      </c>
    </row>
    <row r="76" customFormat="false" ht="15" hidden="false" customHeight="false" outlineLevel="0" collapsed="false">
      <c r="A76" s="2" t="n">
        <v>75</v>
      </c>
      <c r="B76" s="2" t="s">
        <v>205</v>
      </c>
      <c r="C76" s="2" t="s">
        <v>206</v>
      </c>
      <c r="D76" s="2" t="s">
        <v>147</v>
      </c>
      <c r="E76" s="2" t="s">
        <v>26</v>
      </c>
      <c r="F76" s="2" t="s">
        <v>15</v>
      </c>
      <c r="G76" s="3" t="n">
        <v>3</v>
      </c>
      <c r="H76" s="2" t="n">
        <v>4.64</v>
      </c>
      <c r="I76" s="2" t="n">
        <v>4.55</v>
      </c>
      <c r="J76" s="4" t="n">
        <v>46250</v>
      </c>
      <c r="K76" s="5" t="s">
        <v>16</v>
      </c>
    </row>
    <row r="77" customFormat="false" ht="15" hidden="false" customHeight="false" outlineLevel="0" collapsed="false">
      <c r="A77" s="2" t="n">
        <v>76</v>
      </c>
      <c r="B77" s="2" t="s">
        <v>207</v>
      </c>
      <c r="C77" s="2" t="s">
        <v>208</v>
      </c>
      <c r="D77" s="2" t="s">
        <v>144</v>
      </c>
      <c r="E77" s="2" t="s">
        <v>26</v>
      </c>
      <c r="F77" s="2" t="s">
        <v>15</v>
      </c>
      <c r="G77" s="3" t="n">
        <v>3</v>
      </c>
      <c r="H77" s="2" t="n">
        <v>3.4</v>
      </c>
      <c r="I77" s="2" t="n">
        <v>4.08</v>
      </c>
      <c r="J77" s="4" t="n">
        <v>46221</v>
      </c>
      <c r="K77" s="5" t="s">
        <v>16</v>
      </c>
    </row>
    <row r="78" customFormat="false" ht="15" hidden="false" customHeight="false" outlineLevel="0" collapsed="false">
      <c r="A78" s="2" t="n">
        <v>77</v>
      </c>
      <c r="B78" s="2" t="s">
        <v>209</v>
      </c>
      <c r="C78" s="2" t="s">
        <v>210</v>
      </c>
      <c r="D78" s="2" t="s">
        <v>147</v>
      </c>
      <c r="E78" s="2" t="s">
        <v>26</v>
      </c>
      <c r="F78" s="2" t="s">
        <v>37</v>
      </c>
      <c r="G78" s="3" t="n">
        <v>3</v>
      </c>
      <c r="H78" s="2" t="n">
        <v>5.19</v>
      </c>
      <c r="I78" s="2" t="n">
        <v>3.93</v>
      </c>
      <c r="J78" s="4" t="n">
        <v>46238</v>
      </c>
      <c r="K78" s="5" t="s">
        <v>38</v>
      </c>
    </row>
    <row r="79" customFormat="false" ht="23.85" hidden="false" customHeight="false" outlineLevel="0" collapsed="false">
      <c r="A79" s="2" t="n">
        <v>78</v>
      </c>
      <c r="B79" s="2" t="s">
        <v>211</v>
      </c>
      <c r="C79" s="2" t="s">
        <v>212</v>
      </c>
      <c r="D79" s="2" t="s">
        <v>19</v>
      </c>
      <c r="E79" s="2" t="s">
        <v>26</v>
      </c>
      <c r="F79" s="2" t="s">
        <v>37</v>
      </c>
      <c r="G79" s="3" t="n">
        <v>4</v>
      </c>
      <c r="H79" s="2" t="n">
        <v>6.31</v>
      </c>
      <c r="I79" s="2" t="n">
        <v>4.16</v>
      </c>
      <c r="J79" s="4" t="n">
        <v>46213</v>
      </c>
      <c r="K79" s="5" t="s">
        <v>159</v>
      </c>
    </row>
    <row r="80" customFormat="false" ht="15" hidden="false" customHeight="false" outlineLevel="0" collapsed="false">
      <c r="A80" s="2" t="n">
        <v>79</v>
      </c>
      <c r="B80" s="2" t="s">
        <v>213</v>
      </c>
      <c r="C80" s="2" t="s">
        <v>214</v>
      </c>
      <c r="D80" s="2" t="s">
        <v>215</v>
      </c>
      <c r="E80" s="2" t="s">
        <v>26</v>
      </c>
      <c r="F80" s="2" t="s">
        <v>37</v>
      </c>
      <c r="G80" s="3" t="n">
        <v>3</v>
      </c>
      <c r="H80" s="2" t="n">
        <v>5.05</v>
      </c>
      <c r="I80" s="2" t="n">
        <v>4.37</v>
      </c>
      <c r="J80" s="4" t="n">
        <v>46248</v>
      </c>
      <c r="K80" s="5" t="s">
        <v>85</v>
      </c>
    </row>
    <row r="81" customFormat="false" ht="23.85" hidden="false" customHeight="false" outlineLevel="0" collapsed="false">
      <c r="A81" s="2" t="n">
        <v>80</v>
      </c>
      <c r="B81" s="2" t="s">
        <v>216</v>
      </c>
      <c r="C81" s="2" t="s">
        <v>217</v>
      </c>
      <c r="D81" s="2" t="s">
        <v>78</v>
      </c>
      <c r="E81" s="2" t="s">
        <v>84</v>
      </c>
      <c r="F81" s="2" t="s">
        <v>21</v>
      </c>
      <c r="G81" s="3" t="n">
        <v>3</v>
      </c>
      <c r="H81" s="2" t="n">
        <v>4.35</v>
      </c>
      <c r="I81" s="2" t="n">
        <v>5.1</v>
      </c>
      <c r="J81" s="4" t="n">
        <v>46204</v>
      </c>
      <c r="K81" s="5" t="s">
        <v>27</v>
      </c>
    </row>
    <row r="82" customFormat="false" ht="15" hidden="false" customHeight="false" outlineLevel="0" collapsed="false">
      <c r="A82" s="2" t="n">
        <v>81</v>
      </c>
      <c r="B82" s="2" t="s">
        <v>218</v>
      </c>
      <c r="C82" s="2" t="s">
        <v>219</v>
      </c>
      <c r="D82" s="2" t="s">
        <v>83</v>
      </c>
      <c r="E82" s="2" t="s">
        <v>84</v>
      </c>
      <c r="F82" s="2" t="s">
        <v>21</v>
      </c>
      <c r="G82" s="3" t="n">
        <v>3</v>
      </c>
      <c r="H82" s="2" t="n">
        <v>4.34</v>
      </c>
      <c r="I82" s="2" t="n">
        <v>3.01</v>
      </c>
      <c r="J82" s="4" t="n">
        <v>46249</v>
      </c>
      <c r="K82" s="5" t="s">
        <v>52</v>
      </c>
    </row>
    <row r="83" customFormat="false" ht="15" hidden="false" customHeight="false" outlineLevel="0" collapsed="false">
      <c r="A83" s="2" t="n">
        <v>82</v>
      </c>
      <c r="B83" s="2" t="s">
        <v>220</v>
      </c>
      <c r="C83" s="2" t="s">
        <v>221</v>
      </c>
      <c r="D83" s="2" t="s">
        <v>95</v>
      </c>
      <c r="E83" s="2" t="s">
        <v>45</v>
      </c>
      <c r="F83" s="2" t="s">
        <v>15</v>
      </c>
      <c r="G83" s="3" t="n">
        <v>3</v>
      </c>
      <c r="H83" s="2" t="n">
        <v>3.28</v>
      </c>
      <c r="I83" s="2" t="n">
        <v>4.74</v>
      </c>
      <c r="J83" s="4" t="n">
        <v>46222</v>
      </c>
      <c r="K83" s="5" t="s">
        <v>42</v>
      </c>
    </row>
    <row r="84" customFormat="false" ht="23.85" hidden="false" customHeight="false" outlineLevel="0" collapsed="false">
      <c r="A84" s="2" t="n">
        <v>83</v>
      </c>
      <c r="B84" s="2" t="s">
        <v>222</v>
      </c>
      <c r="C84" s="2" t="s">
        <v>153</v>
      </c>
      <c r="D84" s="2" t="s">
        <v>19</v>
      </c>
      <c r="E84" s="2" t="s">
        <v>14</v>
      </c>
      <c r="F84" s="2" t="s">
        <v>37</v>
      </c>
      <c r="G84" s="3" t="n">
        <v>4</v>
      </c>
      <c r="H84" s="2" t="n">
        <v>4.91</v>
      </c>
      <c r="I84" s="2" t="n">
        <v>4.76</v>
      </c>
      <c r="J84" s="4" t="n">
        <v>46247</v>
      </c>
      <c r="K84" s="5" t="s">
        <v>159</v>
      </c>
    </row>
    <row r="85" customFormat="false" ht="15" hidden="false" customHeight="false" outlineLevel="0" collapsed="false">
      <c r="A85" s="2" t="n">
        <v>84</v>
      </c>
      <c r="B85" s="2" t="s">
        <v>223</v>
      </c>
      <c r="C85" s="2" t="s">
        <v>224</v>
      </c>
      <c r="D85" s="2" t="s">
        <v>25</v>
      </c>
      <c r="E85" s="2" t="s">
        <v>20</v>
      </c>
      <c r="F85" s="2" t="s">
        <v>21</v>
      </c>
      <c r="G85" s="3" t="n">
        <v>3</v>
      </c>
      <c r="H85" s="2" t="n">
        <v>3.86</v>
      </c>
      <c r="I85" s="2" t="n">
        <v>4.48</v>
      </c>
      <c r="J85" s="4" t="n">
        <v>46246</v>
      </c>
      <c r="K85" s="5" t="s">
        <v>52</v>
      </c>
    </row>
    <row r="86" customFormat="false" ht="23.85" hidden="false" customHeight="false" outlineLevel="0" collapsed="false">
      <c r="A86" s="2" t="n">
        <v>85</v>
      </c>
      <c r="B86" s="2" t="s">
        <v>225</v>
      </c>
      <c r="C86" s="2" t="s">
        <v>226</v>
      </c>
      <c r="D86" s="2" t="s">
        <v>65</v>
      </c>
      <c r="E86" s="2" t="s">
        <v>14</v>
      </c>
      <c r="F86" s="2" t="s">
        <v>21</v>
      </c>
      <c r="G86" s="3" t="n">
        <v>3</v>
      </c>
      <c r="H86" s="2" t="n">
        <v>5.34</v>
      </c>
      <c r="I86" s="2" t="n">
        <v>3.46</v>
      </c>
      <c r="J86" s="4" t="n">
        <v>46234</v>
      </c>
      <c r="K86" s="5" t="s">
        <v>27</v>
      </c>
    </row>
    <row r="87" customFormat="false" ht="23.85" hidden="false" customHeight="false" outlineLevel="0" collapsed="false">
      <c r="A87" s="2" t="n">
        <v>86</v>
      </c>
      <c r="B87" s="2" t="s">
        <v>227</v>
      </c>
      <c r="C87" s="2" t="s">
        <v>228</v>
      </c>
      <c r="D87" s="2" t="s">
        <v>75</v>
      </c>
      <c r="E87" s="2" t="s">
        <v>26</v>
      </c>
      <c r="F87" s="2" t="s">
        <v>21</v>
      </c>
      <c r="G87" s="3" t="n">
        <v>4</v>
      </c>
      <c r="H87" s="2" t="n">
        <v>5.77</v>
      </c>
      <c r="I87" s="2" t="n">
        <v>3.79</v>
      </c>
      <c r="J87" s="4" t="n">
        <v>46210</v>
      </c>
      <c r="K87" s="5" t="s">
        <v>117</v>
      </c>
    </row>
    <row r="88" customFormat="false" ht="15" hidden="false" customHeight="false" outlineLevel="0" collapsed="false">
      <c r="A88" s="2" t="n">
        <v>87</v>
      </c>
      <c r="B88" s="2" t="s">
        <v>229</v>
      </c>
      <c r="C88" s="2" t="s">
        <v>230</v>
      </c>
      <c r="D88" s="2" t="s">
        <v>19</v>
      </c>
      <c r="E88" s="2" t="s">
        <v>14</v>
      </c>
      <c r="F88" s="2" t="s">
        <v>15</v>
      </c>
      <c r="G88" s="3" t="n">
        <v>3</v>
      </c>
      <c r="H88" s="2" t="n">
        <v>5.11</v>
      </c>
      <c r="I88" s="2" t="n">
        <v>4.38</v>
      </c>
      <c r="J88" s="4" t="n">
        <v>46208</v>
      </c>
      <c r="K88" s="5" t="s">
        <v>16</v>
      </c>
    </row>
    <row r="89" customFormat="false" ht="15" hidden="false" customHeight="false" outlineLevel="0" collapsed="false">
      <c r="A89" s="2" t="n">
        <v>88</v>
      </c>
      <c r="B89" s="2" t="s">
        <v>231</v>
      </c>
      <c r="C89" s="2" t="s">
        <v>232</v>
      </c>
      <c r="D89" s="2" t="s">
        <v>215</v>
      </c>
      <c r="E89" s="2" t="s">
        <v>26</v>
      </c>
      <c r="F89" s="2" t="s">
        <v>37</v>
      </c>
      <c r="G89" s="3" t="n">
        <v>4</v>
      </c>
      <c r="H89" s="2" t="n">
        <v>5.6</v>
      </c>
      <c r="I89" s="2" t="n">
        <v>3.9</v>
      </c>
      <c r="J89" s="4" t="n">
        <v>46211</v>
      </c>
      <c r="K89" s="5" t="s">
        <v>62</v>
      </c>
    </row>
    <row r="90" customFormat="false" ht="23.85" hidden="false" customHeight="false" outlineLevel="0" collapsed="false">
      <c r="A90" s="2" t="n">
        <v>89</v>
      </c>
      <c r="B90" s="2" t="s">
        <v>233</v>
      </c>
      <c r="C90" s="2" t="s">
        <v>102</v>
      </c>
      <c r="D90" s="2" t="s">
        <v>55</v>
      </c>
      <c r="E90" s="2" t="s">
        <v>56</v>
      </c>
      <c r="F90" s="2" t="s">
        <v>21</v>
      </c>
      <c r="G90" s="3" t="n">
        <v>4</v>
      </c>
      <c r="H90" s="2" t="n">
        <v>5.75</v>
      </c>
      <c r="I90" s="2" t="n">
        <v>4.18</v>
      </c>
      <c r="J90" s="4" t="n">
        <v>46220</v>
      </c>
      <c r="K90" s="5" t="s">
        <v>117</v>
      </c>
    </row>
    <row r="91" customFormat="false" ht="23.85" hidden="false" customHeight="false" outlineLevel="0" collapsed="false">
      <c r="A91" s="2" t="n">
        <v>90</v>
      </c>
      <c r="B91" s="2" t="s">
        <v>234</v>
      </c>
      <c r="C91" s="2" t="s">
        <v>235</v>
      </c>
      <c r="D91" s="2" t="s">
        <v>30</v>
      </c>
      <c r="E91" s="2" t="s">
        <v>181</v>
      </c>
      <c r="F91" s="2" t="s">
        <v>21</v>
      </c>
      <c r="G91" s="3" t="n">
        <v>4</v>
      </c>
      <c r="H91" s="2" t="n">
        <v>5.79</v>
      </c>
      <c r="I91" s="2" t="n">
        <v>3.89</v>
      </c>
      <c r="J91" s="4" t="n">
        <v>46217</v>
      </c>
      <c r="K91" s="5" t="s">
        <v>117</v>
      </c>
    </row>
    <row r="92" customFormat="false" ht="23.85" hidden="false" customHeight="false" outlineLevel="0" collapsed="false">
      <c r="A92" s="2" t="n">
        <v>91</v>
      </c>
      <c r="B92" s="2" t="s">
        <v>236</v>
      </c>
      <c r="C92" s="2" t="s">
        <v>237</v>
      </c>
      <c r="D92" s="2" t="s">
        <v>19</v>
      </c>
      <c r="E92" s="2" t="s">
        <v>26</v>
      </c>
      <c r="F92" s="2" t="s">
        <v>21</v>
      </c>
      <c r="G92" s="3" t="n">
        <v>3</v>
      </c>
      <c r="H92" s="2" t="n">
        <v>4.72</v>
      </c>
      <c r="I92" s="2" t="n">
        <v>4.33</v>
      </c>
      <c r="J92" s="4" t="n">
        <v>46244</v>
      </c>
      <c r="K92" s="5" t="s">
        <v>27</v>
      </c>
    </row>
    <row r="93" customFormat="false" ht="15" hidden="false" customHeight="false" outlineLevel="0" collapsed="false">
      <c r="A93" s="2" t="n">
        <v>92</v>
      </c>
      <c r="B93" s="2" t="s">
        <v>238</v>
      </c>
      <c r="C93" s="2" t="s">
        <v>239</v>
      </c>
      <c r="D93" s="2" t="s">
        <v>147</v>
      </c>
      <c r="E93" s="2" t="s">
        <v>26</v>
      </c>
      <c r="F93" s="2" t="s">
        <v>15</v>
      </c>
      <c r="G93" s="3" t="n">
        <v>3</v>
      </c>
      <c r="H93" s="2" t="n">
        <v>2.9</v>
      </c>
      <c r="I93" s="2" t="n">
        <v>4.88</v>
      </c>
      <c r="J93" s="4" t="n">
        <v>46226</v>
      </c>
      <c r="K93" s="5" t="s">
        <v>42</v>
      </c>
    </row>
    <row r="94" customFormat="false" ht="15" hidden="false" customHeight="false" outlineLevel="0" collapsed="false">
      <c r="A94" s="2" t="n">
        <v>93</v>
      </c>
      <c r="B94" s="2" t="s">
        <v>240</v>
      </c>
      <c r="C94" s="2" t="s">
        <v>241</v>
      </c>
      <c r="D94" s="2" t="s">
        <v>59</v>
      </c>
      <c r="E94" s="2" t="s">
        <v>84</v>
      </c>
      <c r="F94" s="2" t="s">
        <v>21</v>
      </c>
      <c r="G94" s="3" t="n">
        <v>3</v>
      </c>
      <c r="H94" s="2" t="n">
        <v>4.59</v>
      </c>
      <c r="I94" s="2" t="n">
        <v>3.39</v>
      </c>
      <c r="J94" s="4" t="n">
        <v>46247</v>
      </c>
      <c r="K94" s="5" t="s">
        <v>52</v>
      </c>
    </row>
    <row r="95" customFormat="false" ht="15" hidden="false" customHeight="false" outlineLevel="0" collapsed="false">
      <c r="A95" s="2" t="n">
        <v>94</v>
      </c>
      <c r="B95" s="2" t="s">
        <v>242</v>
      </c>
      <c r="C95" s="2" t="s">
        <v>243</v>
      </c>
      <c r="D95" s="2" t="s">
        <v>13</v>
      </c>
      <c r="E95" s="2" t="s">
        <v>26</v>
      </c>
      <c r="F95" s="2" t="s">
        <v>37</v>
      </c>
      <c r="G95" s="3" t="n">
        <v>3</v>
      </c>
      <c r="H95" s="2" t="n">
        <v>4.17</v>
      </c>
      <c r="I95" s="2" t="n">
        <v>3.62</v>
      </c>
      <c r="J95" s="4" t="n">
        <v>46231</v>
      </c>
      <c r="K95" s="5" t="s">
        <v>38</v>
      </c>
    </row>
    <row r="96" customFormat="false" ht="15" hidden="false" customHeight="false" outlineLevel="0" collapsed="false">
      <c r="A96" s="2" t="n">
        <v>95</v>
      </c>
      <c r="B96" s="2" t="s">
        <v>244</v>
      </c>
      <c r="C96" s="2" t="s">
        <v>245</v>
      </c>
      <c r="D96" s="2" t="s">
        <v>107</v>
      </c>
      <c r="E96" s="2" t="s">
        <v>26</v>
      </c>
      <c r="F96" s="2" t="s">
        <v>37</v>
      </c>
      <c r="G96" s="3" t="n">
        <v>3</v>
      </c>
      <c r="H96" s="2" t="n">
        <v>2.76</v>
      </c>
      <c r="I96" s="2" t="n">
        <v>3.98</v>
      </c>
      <c r="J96" s="4" t="n">
        <v>46246</v>
      </c>
      <c r="K96" s="5" t="s">
        <v>85</v>
      </c>
    </row>
    <row r="97" customFormat="false" ht="15" hidden="false" customHeight="false" outlineLevel="0" collapsed="false">
      <c r="A97" s="2" t="n">
        <v>96</v>
      </c>
      <c r="B97" s="2" t="s">
        <v>246</v>
      </c>
      <c r="C97" s="2" t="s">
        <v>247</v>
      </c>
      <c r="D97" s="2" t="s">
        <v>55</v>
      </c>
      <c r="E97" s="2" t="s">
        <v>26</v>
      </c>
      <c r="F97" s="2" t="s">
        <v>21</v>
      </c>
      <c r="G97" s="3" t="n">
        <v>3</v>
      </c>
      <c r="H97" s="2" t="n">
        <v>4.28</v>
      </c>
      <c r="I97" s="2" t="n">
        <v>4.65</v>
      </c>
      <c r="J97" s="4" t="n">
        <v>46211</v>
      </c>
      <c r="K97" s="5" t="s">
        <v>52</v>
      </c>
    </row>
    <row r="98" customFormat="false" ht="23.85" hidden="false" customHeight="false" outlineLevel="0" collapsed="false">
      <c r="A98" s="2" t="n">
        <v>97</v>
      </c>
      <c r="B98" s="2" t="s">
        <v>248</v>
      </c>
      <c r="C98" s="2" t="s">
        <v>249</v>
      </c>
      <c r="D98" s="2" t="s">
        <v>48</v>
      </c>
      <c r="E98" s="2" t="s">
        <v>26</v>
      </c>
      <c r="F98" s="2" t="s">
        <v>21</v>
      </c>
      <c r="G98" s="3" t="n">
        <v>3</v>
      </c>
      <c r="H98" s="2" t="n">
        <v>4.56</v>
      </c>
      <c r="I98" s="2" t="n">
        <v>3.3</v>
      </c>
      <c r="J98" s="4" t="n">
        <v>46237</v>
      </c>
      <c r="K98" s="5" t="s">
        <v>27</v>
      </c>
    </row>
    <row r="99" customFormat="false" ht="15" hidden="false" customHeight="false" outlineLevel="0" collapsed="false">
      <c r="A99" s="2" t="n">
        <v>98</v>
      </c>
      <c r="B99" s="2" t="s">
        <v>250</v>
      </c>
      <c r="C99" s="2" t="s">
        <v>251</v>
      </c>
      <c r="D99" s="2" t="s">
        <v>25</v>
      </c>
      <c r="E99" s="2" t="s">
        <v>26</v>
      </c>
      <c r="F99" s="2" t="s">
        <v>37</v>
      </c>
      <c r="G99" s="3" t="n">
        <v>3</v>
      </c>
      <c r="H99" s="2" t="n">
        <v>3.11</v>
      </c>
      <c r="I99" s="2" t="n">
        <v>4.66</v>
      </c>
      <c r="J99" s="4" t="n">
        <v>46244</v>
      </c>
      <c r="K99" s="5" t="s">
        <v>38</v>
      </c>
    </row>
    <row r="100" customFormat="false" ht="23.85" hidden="false" customHeight="false" outlineLevel="0" collapsed="false">
      <c r="A100" s="2" t="n">
        <v>99</v>
      </c>
      <c r="B100" s="2" t="s">
        <v>252</v>
      </c>
      <c r="C100" s="2" t="s">
        <v>253</v>
      </c>
      <c r="D100" s="2" t="s">
        <v>41</v>
      </c>
      <c r="E100" s="2" t="s">
        <v>26</v>
      </c>
      <c r="F100" s="2" t="s">
        <v>21</v>
      </c>
      <c r="G100" s="3" t="n">
        <v>4</v>
      </c>
      <c r="H100" s="2" t="n">
        <v>6.52</v>
      </c>
      <c r="I100" s="2" t="n">
        <v>4.09</v>
      </c>
      <c r="J100" s="4" t="n">
        <v>46234</v>
      </c>
      <c r="K100" s="5" t="s">
        <v>117</v>
      </c>
    </row>
    <row r="101" customFormat="false" ht="15" hidden="false" customHeight="false" outlineLevel="0" collapsed="false">
      <c r="A101" s="2" t="n">
        <v>100</v>
      </c>
      <c r="B101" s="2" t="s">
        <v>254</v>
      </c>
      <c r="C101" s="2" t="s">
        <v>255</v>
      </c>
      <c r="D101" s="2" t="s">
        <v>41</v>
      </c>
      <c r="E101" s="2" t="s">
        <v>14</v>
      </c>
      <c r="F101" s="2" t="s">
        <v>37</v>
      </c>
      <c r="G101" s="3" t="n">
        <v>4</v>
      </c>
      <c r="H101" s="2" t="n">
        <v>6.04</v>
      </c>
      <c r="I101" s="2" t="n">
        <v>5.21</v>
      </c>
      <c r="J101" s="4" t="n">
        <v>46212</v>
      </c>
      <c r="K101" s="5" t="s">
        <v>62</v>
      </c>
    </row>
    <row r="102" customFormat="false" ht="15" hidden="false" customHeight="false" outlineLevel="0" collapsed="false">
      <c r="A102" s="2" t="n">
        <v>101</v>
      </c>
      <c r="B102" s="2" t="s">
        <v>256</v>
      </c>
      <c r="C102" s="2" t="s">
        <v>257</v>
      </c>
      <c r="D102" s="2" t="s">
        <v>30</v>
      </c>
      <c r="E102" s="2" t="s">
        <v>84</v>
      </c>
      <c r="F102" s="2" t="s">
        <v>21</v>
      </c>
      <c r="G102" s="3" t="n">
        <v>3</v>
      </c>
      <c r="H102" s="2" t="n">
        <v>5.91</v>
      </c>
      <c r="I102" s="2" t="n">
        <v>3.11</v>
      </c>
      <c r="J102" s="4" t="n">
        <v>46240</v>
      </c>
      <c r="K102" s="5" t="s">
        <v>52</v>
      </c>
    </row>
    <row r="103" customFormat="false" ht="15" hidden="false" customHeight="false" outlineLevel="0" collapsed="false">
      <c r="A103" s="2" t="n">
        <v>102</v>
      </c>
      <c r="B103" s="2" t="s">
        <v>258</v>
      </c>
      <c r="C103" s="2" t="s">
        <v>259</v>
      </c>
      <c r="D103" s="2" t="s">
        <v>184</v>
      </c>
      <c r="E103" s="2" t="s">
        <v>26</v>
      </c>
      <c r="F103" s="2" t="s">
        <v>15</v>
      </c>
      <c r="G103" s="3" t="n">
        <v>3</v>
      </c>
      <c r="H103" s="2" t="n">
        <v>3.27</v>
      </c>
      <c r="I103" s="2" t="n">
        <v>4.05</v>
      </c>
      <c r="J103" s="4" t="n">
        <v>46209</v>
      </c>
      <c r="K103" s="5" t="s">
        <v>42</v>
      </c>
    </row>
    <row r="104" customFormat="false" ht="15" hidden="false" customHeight="false" outlineLevel="0" collapsed="false">
      <c r="A104" s="2" t="n">
        <v>103</v>
      </c>
      <c r="B104" s="2" t="s">
        <v>260</v>
      </c>
      <c r="C104" s="2" t="s">
        <v>29</v>
      </c>
      <c r="D104" s="2" t="s">
        <v>110</v>
      </c>
      <c r="E104" s="2" t="s">
        <v>20</v>
      </c>
      <c r="F104" s="2" t="s">
        <v>15</v>
      </c>
      <c r="G104" s="3" t="n">
        <v>3</v>
      </c>
      <c r="H104" s="2" t="n">
        <v>4.16</v>
      </c>
      <c r="I104" s="2" t="n">
        <v>4.74</v>
      </c>
      <c r="J104" s="4" t="n">
        <v>46219</v>
      </c>
      <c r="K104" s="5" t="s">
        <v>42</v>
      </c>
    </row>
    <row r="105" customFormat="false" ht="15" hidden="false" customHeight="false" outlineLevel="0" collapsed="false">
      <c r="A105" s="2" t="n">
        <v>104</v>
      </c>
      <c r="B105" s="2" t="s">
        <v>261</v>
      </c>
      <c r="C105" s="2" t="s">
        <v>262</v>
      </c>
      <c r="D105" s="2" t="s">
        <v>19</v>
      </c>
      <c r="E105" s="2" t="s">
        <v>26</v>
      </c>
      <c r="F105" s="2" t="s">
        <v>37</v>
      </c>
      <c r="G105" s="3" t="n">
        <v>3</v>
      </c>
      <c r="H105" s="2" t="n">
        <v>3.05</v>
      </c>
      <c r="I105" s="2" t="n">
        <v>4.15</v>
      </c>
      <c r="J105" s="4" t="n">
        <v>46217</v>
      </c>
      <c r="K105" s="5" t="s">
        <v>38</v>
      </c>
    </row>
    <row r="106" customFormat="false" ht="15" hidden="false" customHeight="false" outlineLevel="0" collapsed="false">
      <c r="A106" s="2" t="n">
        <v>105</v>
      </c>
      <c r="B106" s="2" t="s">
        <v>263</v>
      </c>
      <c r="C106" s="2" t="s">
        <v>264</v>
      </c>
      <c r="D106" s="2" t="s">
        <v>59</v>
      </c>
      <c r="E106" s="2" t="s">
        <v>181</v>
      </c>
      <c r="F106" s="2" t="s">
        <v>37</v>
      </c>
      <c r="G106" s="3" t="n">
        <v>3</v>
      </c>
      <c r="H106" s="2" t="n">
        <v>2.82</v>
      </c>
      <c r="I106" s="2" t="n">
        <v>4.76</v>
      </c>
      <c r="J106" s="4" t="n">
        <v>46212</v>
      </c>
      <c r="K106" s="5" t="s">
        <v>85</v>
      </c>
    </row>
    <row r="107" customFormat="false" ht="15" hidden="false" customHeight="false" outlineLevel="0" collapsed="false">
      <c r="A107" s="2" t="n">
        <v>106</v>
      </c>
      <c r="B107" s="2" t="s">
        <v>265</v>
      </c>
      <c r="C107" s="2" t="s">
        <v>266</v>
      </c>
      <c r="D107" s="2" t="s">
        <v>98</v>
      </c>
      <c r="E107" s="2" t="s">
        <v>26</v>
      </c>
      <c r="F107" s="2" t="s">
        <v>15</v>
      </c>
      <c r="G107" s="3" t="n">
        <v>3</v>
      </c>
      <c r="H107" s="2" t="n">
        <v>3.1</v>
      </c>
      <c r="I107" s="2" t="n">
        <v>4.49</v>
      </c>
      <c r="J107" s="4" t="n">
        <v>46230</v>
      </c>
      <c r="K107" s="5" t="s">
        <v>42</v>
      </c>
    </row>
    <row r="108" customFormat="false" ht="23.85" hidden="false" customHeight="false" outlineLevel="0" collapsed="false">
      <c r="A108" s="2" t="n">
        <v>107</v>
      </c>
      <c r="B108" s="2" t="s">
        <v>267</v>
      </c>
      <c r="C108" s="2" t="s">
        <v>268</v>
      </c>
      <c r="D108" s="2" t="s">
        <v>68</v>
      </c>
      <c r="E108" s="2" t="s">
        <v>56</v>
      </c>
      <c r="F108" s="2" t="s">
        <v>21</v>
      </c>
      <c r="G108" s="3" t="n">
        <v>3</v>
      </c>
      <c r="H108" s="2" t="n">
        <v>5.72</v>
      </c>
      <c r="I108" s="2" t="n">
        <v>3.49</v>
      </c>
      <c r="J108" s="4" t="n">
        <v>46249</v>
      </c>
      <c r="K108" s="5" t="s">
        <v>27</v>
      </c>
    </row>
    <row r="109" customFormat="false" ht="15" hidden="false" customHeight="false" outlineLevel="0" collapsed="false">
      <c r="A109" s="2" t="n">
        <v>108</v>
      </c>
      <c r="B109" s="2" t="s">
        <v>269</v>
      </c>
      <c r="C109" s="2" t="s">
        <v>270</v>
      </c>
      <c r="D109" s="2" t="s">
        <v>215</v>
      </c>
      <c r="E109" s="2" t="s">
        <v>26</v>
      </c>
      <c r="F109" s="2" t="s">
        <v>15</v>
      </c>
      <c r="G109" s="3" t="n">
        <v>3</v>
      </c>
      <c r="H109" s="2" t="n">
        <v>4.56</v>
      </c>
      <c r="I109" s="2" t="n">
        <v>4.06</v>
      </c>
      <c r="J109" s="4" t="n">
        <v>46245</v>
      </c>
      <c r="K109" s="5" t="s">
        <v>42</v>
      </c>
    </row>
    <row r="110" customFormat="false" ht="23.85" hidden="false" customHeight="false" outlineLevel="0" collapsed="false">
      <c r="A110" s="2" t="n">
        <v>109</v>
      </c>
      <c r="B110" s="2" t="s">
        <v>271</v>
      </c>
      <c r="C110" s="2" t="s">
        <v>241</v>
      </c>
      <c r="D110" s="2" t="s">
        <v>13</v>
      </c>
      <c r="E110" s="2" t="s">
        <v>84</v>
      </c>
      <c r="F110" s="2" t="s">
        <v>21</v>
      </c>
      <c r="G110" s="3" t="n">
        <v>4</v>
      </c>
      <c r="H110" s="2" t="n">
        <v>6.99</v>
      </c>
      <c r="I110" s="2" t="n">
        <v>4.3</v>
      </c>
      <c r="J110" s="4" t="n">
        <v>46231</v>
      </c>
      <c r="K110" s="5" t="s">
        <v>117</v>
      </c>
    </row>
    <row r="111" customFormat="false" ht="15" hidden="false" customHeight="false" outlineLevel="0" collapsed="false">
      <c r="A111" s="2" t="n">
        <v>110</v>
      </c>
      <c r="B111" s="2" t="s">
        <v>272</v>
      </c>
      <c r="C111" s="2" t="s">
        <v>273</v>
      </c>
      <c r="D111" s="2" t="s">
        <v>215</v>
      </c>
      <c r="E111" s="2" t="s">
        <v>26</v>
      </c>
      <c r="F111" s="2" t="s">
        <v>15</v>
      </c>
      <c r="G111" s="3" t="n">
        <v>3</v>
      </c>
      <c r="H111" s="2" t="n">
        <v>4.18</v>
      </c>
      <c r="I111" s="2" t="n">
        <v>4.58</v>
      </c>
      <c r="J111" s="4" t="n">
        <v>46234</v>
      </c>
      <c r="K111" s="5" t="s">
        <v>16</v>
      </c>
    </row>
    <row r="112" customFormat="false" ht="15" hidden="false" customHeight="false" outlineLevel="0" collapsed="false">
      <c r="A112" s="2" t="n">
        <v>111</v>
      </c>
      <c r="B112" s="2" t="s">
        <v>274</v>
      </c>
      <c r="C112" s="2" t="s">
        <v>275</v>
      </c>
      <c r="D112" s="2" t="s">
        <v>276</v>
      </c>
      <c r="E112" s="2" t="s">
        <v>26</v>
      </c>
      <c r="F112" s="2" t="s">
        <v>37</v>
      </c>
      <c r="G112" s="3" t="n">
        <v>3</v>
      </c>
      <c r="H112" s="2" t="n">
        <v>3.99</v>
      </c>
      <c r="I112" s="2" t="n">
        <v>4.72</v>
      </c>
      <c r="J112" s="4" t="n">
        <v>46248</v>
      </c>
      <c r="K112" s="5" t="s">
        <v>85</v>
      </c>
    </row>
    <row r="113" customFormat="false" ht="15" hidden="false" customHeight="false" outlineLevel="0" collapsed="false">
      <c r="A113" s="2" t="n">
        <v>112</v>
      </c>
      <c r="B113" s="2" t="s">
        <v>277</v>
      </c>
      <c r="C113" s="2" t="s">
        <v>278</v>
      </c>
      <c r="D113" s="2" t="s">
        <v>276</v>
      </c>
      <c r="E113" s="2" t="s">
        <v>26</v>
      </c>
      <c r="F113" s="2" t="s">
        <v>21</v>
      </c>
      <c r="G113" s="3" t="n">
        <v>3</v>
      </c>
      <c r="H113" s="2" t="n">
        <v>3.76</v>
      </c>
      <c r="I113" s="2" t="n">
        <v>3.51</v>
      </c>
      <c r="J113" s="4" t="n">
        <v>46214</v>
      </c>
      <c r="K113" s="5" t="s">
        <v>52</v>
      </c>
    </row>
    <row r="114" customFormat="false" ht="15" hidden="false" customHeight="false" outlineLevel="0" collapsed="false">
      <c r="A114" s="2" t="n">
        <v>113</v>
      </c>
      <c r="B114" s="2" t="s">
        <v>279</v>
      </c>
      <c r="C114" s="2" t="s">
        <v>280</v>
      </c>
      <c r="D114" s="2" t="s">
        <v>68</v>
      </c>
      <c r="E114" s="2" t="s">
        <v>26</v>
      </c>
      <c r="F114" s="2" t="s">
        <v>15</v>
      </c>
      <c r="G114" s="3" t="n">
        <v>4</v>
      </c>
      <c r="H114" s="2" t="n">
        <v>4.9</v>
      </c>
      <c r="I114" s="2" t="n">
        <v>5.54</v>
      </c>
      <c r="J114" s="4" t="n">
        <v>46204</v>
      </c>
      <c r="K114" s="5" t="s">
        <v>281</v>
      </c>
    </row>
    <row r="115" customFormat="false" ht="15" hidden="false" customHeight="false" outlineLevel="0" collapsed="false">
      <c r="A115" s="2" t="n">
        <v>114</v>
      </c>
      <c r="B115" s="2" t="s">
        <v>282</v>
      </c>
      <c r="C115" s="2" t="s">
        <v>283</v>
      </c>
      <c r="D115" s="2" t="s">
        <v>156</v>
      </c>
      <c r="E115" s="2" t="s">
        <v>84</v>
      </c>
      <c r="F115" s="2" t="s">
        <v>15</v>
      </c>
      <c r="G115" s="3" t="n">
        <v>3</v>
      </c>
      <c r="H115" s="2" t="n">
        <v>5.01</v>
      </c>
      <c r="I115" s="2" t="n">
        <v>4.36</v>
      </c>
      <c r="J115" s="4" t="n">
        <v>46209</v>
      </c>
      <c r="K115" s="5" t="s">
        <v>16</v>
      </c>
    </row>
    <row r="116" customFormat="false" ht="15" hidden="false" customHeight="false" outlineLevel="0" collapsed="false">
      <c r="A116" s="2" t="n">
        <v>115</v>
      </c>
      <c r="B116" s="2" t="s">
        <v>284</v>
      </c>
      <c r="C116" s="2" t="s">
        <v>285</v>
      </c>
      <c r="D116" s="2" t="s">
        <v>65</v>
      </c>
      <c r="E116" s="2" t="s">
        <v>14</v>
      </c>
      <c r="F116" s="2" t="s">
        <v>37</v>
      </c>
      <c r="G116" s="3" t="n">
        <v>3</v>
      </c>
      <c r="H116" s="2" t="n">
        <v>5.25</v>
      </c>
      <c r="I116" s="2" t="n">
        <v>3.49</v>
      </c>
      <c r="J116" s="4" t="n">
        <v>46214</v>
      </c>
      <c r="K116" s="5" t="s">
        <v>38</v>
      </c>
    </row>
    <row r="117" customFormat="false" ht="15" hidden="false" customHeight="false" outlineLevel="0" collapsed="false">
      <c r="A117" s="2" t="n">
        <v>116</v>
      </c>
      <c r="B117" s="2" t="s">
        <v>286</v>
      </c>
      <c r="C117" s="2" t="s">
        <v>287</v>
      </c>
      <c r="D117" s="2" t="s">
        <v>41</v>
      </c>
      <c r="E117" s="2" t="s">
        <v>26</v>
      </c>
      <c r="F117" s="2" t="s">
        <v>15</v>
      </c>
      <c r="G117" s="3" t="n">
        <v>3</v>
      </c>
      <c r="H117" s="2" t="n">
        <v>4.95</v>
      </c>
      <c r="I117" s="2" t="n">
        <v>4.49</v>
      </c>
      <c r="J117" s="4" t="n">
        <v>46240</v>
      </c>
      <c r="K117" s="5" t="s">
        <v>42</v>
      </c>
    </row>
    <row r="118" customFormat="false" ht="23.85" hidden="false" customHeight="false" outlineLevel="0" collapsed="false">
      <c r="A118" s="2" t="n">
        <v>117</v>
      </c>
      <c r="B118" s="2" t="s">
        <v>288</v>
      </c>
      <c r="C118" s="2" t="s">
        <v>289</v>
      </c>
      <c r="D118" s="2" t="s">
        <v>107</v>
      </c>
      <c r="E118" s="2" t="s">
        <v>14</v>
      </c>
      <c r="F118" s="2" t="s">
        <v>21</v>
      </c>
      <c r="G118" s="3" t="n">
        <v>4</v>
      </c>
      <c r="H118" s="2" t="n">
        <v>5.97</v>
      </c>
      <c r="I118" s="2" t="n">
        <v>4.66</v>
      </c>
      <c r="J118" s="4" t="n">
        <v>46225</v>
      </c>
      <c r="K118" s="5" t="s">
        <v>117</v>
      </c>
    </row>
    <row r="119" customFormat="false" ht="23.85" hidden="false" customHeight="false" outlineLevel="0" collapsed="false">
      <c r="A119" s="2" t="n">
        <v>118</v>
      </c>
      <c r="B119" s="2" t="s">
        <v>290</v>
      </c>
      <c r="C119" s="2" t="s">
        <v>291</v>
      </c>
      <c r="D119" s="2" t="s">
        <v>75</v>
      </c>
      <c r="E119" s="2" t="s">
        <v>84</v>
      </c>
      <c r="F119" s="2" t="s">
        <v>37</v>
      </c>
      <c r="G119" s="3" t="n">
        <v>4</v>
      </c>
      <c r="H119" s="2" t="n">
        <v>4.57</v>
      </c>
      <c r="I119" s="2" t="n">
        <v>5.37</v>
      </c>
      <c r="J119" s="4" t="n">
        <v>46246</v>
      </c>
      <c r="K119" s="5" t="s">
        <v>159</v>
      </c>
    </row>
    <row r="120" customFormat="false" ht="23.85" hidden="false" customHeight="false" outlineLevel="0" collapsed="false">
      <c r="A120" s="2" t="n">
        <v>119</v>
      </c>
      <c r="B120" s="2" t="s">
        <v>292</v>
      </c>
      <c r="C120" s="2" t="s">
        <v>293</v>
      </c>
      <c r="D120" s="2" t="s">
        <v>110</v>
      </c>
      <c r="E120" s="2" t="s">
        <v>14</v>
      </c>
      <c r="F120" s="2" t="s">
        <v>21</v>
      </c>
      <c r="G120" s="3" t="n">
        <v>3</v>
      </c>
      <c r="H120" s="2" t="n">
        <v>5.3</v>
      </c>
      <c r="I120" s="2" t="n">
        <v>3.14</v>
      </c>
      <c r="J120" s="4" t="n">
        <v>46215</v>
      </c>
      <c r="K120" s="5" t="s">
        <v>27</v>
      </c>
    </row>
    <row r="121" customFormat="false" ht="23.85" hidden="false" customHeight="false" outlineLevel="0" collapsed="false">
      <c r="A121" s="2" t="n">
        <v>120</v>
      </c>
      <c r="B121" s="2" t="s">
        <v>294</v>
      </c>
      <c r="C121" s="2" t="s">
        <v>295</v>
      </c>
      <c r="D121" s="2" t="s">
        <v>147</v>
      </c>
      <c r="E121" s="2" t="s">
        <v>26</v>
      </c>
      <c r="F121" s="2" t="s">
        <v>21</v>
      </c>
      <c r="G121" s="3" t="n">
        <v>4</v>
      </c>
      <c r="H121" s="2" t="n">
        <v>5.81</v>
      </c>
      <c r="I121" s="2" t="n">
        <v>4.18</v>
      </c>
      <c r="J121" s="4" t="n">
        <v>46220</v>
      </c>
      <c r="K121" s="5" t="s">
        <v>22</v>
      </c>
    </row>
  </sheetData>
  <autoFilter ref="A1:K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6" t="s">
        <v>296</v>
      </c>
    </row>
    <row r="2" customFormat="false" ht="15" hidden="false" customHeight="false" outlineLevel="0" collapsed="false">
      <c r="A2" s="7" t="s">
        <v>297</v>
      </c>
    </row>
    <row r="4" customFormat="false" ht="15" hidden="false" customHeight="false" outlineLevel="0" collapsed="false">
      <c r="A4" s="0" t="s">
        <v>298</v>
      </c>
      <c r="B4" s="0" t="n">
        <f aca="false">COUNTA(Reviews!A2:A121)</f>
        <v>120</v>
      </c>
    </row>
    <row r="5" customFormat="false" ht="15" hidden="false" customHeight="false" outlineLevel="0" collapsed="false">
      <c r="A5" s="0" t="s">
        <v>299</v>
      </c>
      <c r="B5" s="8" t="n">
        <f aca="false">AVERAGE(Reviews!G2:G121)</f>
        <v>3.25</v>
      </c>
    </row>
    <row r="6" customFormat="false" ht="15" hidden="false" customHeight="false" outlineLevel="0" collapsed="false">
      <c r="A6" s="0" t="s">
        <v>300</v>
      </c>
      <c r="B6" s="8" t="n">
        <f aca="false">AVERAGE(Reviews!H2:H121)</f>
        <v>4.57275</v>
      </c>
    </row>
    <row r="7" customFormat="false" ht="15" hidden="false" customHeight="false" outlineLevel="0" collapsed="false">
      <c r="A7" s="0" t="s">
        <v>301</v>
      </c>
      <c r="B7" s="8" t="n">
        <f aca="false">AVERAGE(Reviews!I2:I121)</f>
        <v>4.26841666666667</v>
      </c>
    </row>
    <row r="9" customFormat="false" ht="15" hidden="false" customHeight="false" outlineLevel="0" collapsed="false">
      <c r="A9" s="1" t="s">
        <v>302</v>
      </c>
      <c r="B9" s="1" t="s">
        <v>303</v>
      </c>
      <c r="C9" s="1" t="s">
        <v>304</v>
      </c>
    </row>
    <row r="10" customFormat="false" ht="15" hidden="false" customHeight="false" outlineLevel="0" collapsed="false">
      <c r="A10" s="9" t="n">
        <v>5</v>
      </c>
      <c r="B10" s="9" t="n">
        <f aca="false">COUNTIF(Reviews!$G$2:$G$121,A10)</f>
        <v>0</v>
      </c>
      <c r="C10" s="10" t="n">
        <f aca="false">B10/$B$4</f>
        <v>0</v>
      </c>
    </row>
    <row r="11" customFormat="false" ht="15" hidden="false" customHeight="false" outlineLevel="0" collapsed="false">
      <c r="A11" s="9" t="n">
        <v>4</v>
      </c>
      <c r="B11" s="9" t="n">
        <f aca="false">COUNTIF(Reviews!$G$2:$G$121,A11)</f>
        <v>32</v>
      </c>
      <c r="C11" s="10" t="n">
        <f aca="false">B11/$B$4</f>
        <v>0.266666666666667</v>
      </c>
    </row>
    <row r="12" customFormat="false" ht="15" hidden="false" customHeight="false" outlineLevel="0" collapsed="false">
      <c r="A12" s="9" t="n">
        <v>3</v>
      </c>
      <c r="B12" s="9" t="n">
        <f aca="false">COUNTIF(Reviews!$G$2:$G$121,A12)</f>
        <v>86</v>
      </c>
      <c r="C12" s="10" t="n">
        <f aca="false">B12/$B$4</f>
        <v>0.716666666666667</v>
      </c>
    </row>
    <row r="13" customFormat="false" ht="15" hidden="false" customHeight="false" outlineLevel="0" collapsed="false">
      <c r="A13" s="9" t="n">
        <v>2</v>
      </c>
      <c r="B13" s="9" t="n">
        <f aca="false">COUNTIF(Reviews!$G$2:$G$121,A13)</f>
        <v>2</v>
      </c>
      <c r="C13" s="10" t="n">
        <f aca="false">B13/$B$4</f>
        <v>0.0166666666666667</v>
      </c>
    </row>
    <row r="14" customFormat="false" ht="15" hidden="false" customHeight="false" outlineLevel="0" collapsed="false">
      <c r="A14" s="9" t="n">
        <v>1</v>
      </c>
      <c r="B14" s="9" t="n">
        <f aca="false">COUNTIF(Reviews!$G$2:$G$121,A14)</f>
        <v>0</v>
      </c>
      <c r="C14" s="10" t="n">
        <f aca="false">B14/$B$4</f>
        <v>0</v>
      </c>
    </row>
    <row r="16" customFormat="false" ht="15" hidden="false" customHeight="false" outlineLevel="0" collapsed="false">
      <c r="A16" s="1" t="s">
        <v>5</v>
      </c>
      <c r="B16" s="1" t="s">
        <v>303</v>
      </c>
    </row>
    <row r="17" customFormat="false" ht="15" hidden="false" customHeight="false" outlineLevel="0" collapsed="false">
      <c r="A17" s="9" t="s">
        <v>15</v>
      </c>
      <c r="B17" s="9" t="n">
        <f aca="false">COUNTIF(Reviews!$F$2:$F$121,A17)</f>
        <v>38</v>
      </c>
    </row>
    <row r="18" customFormat="false" ht="15" hidden="false" customHeight="false" outlineLevel="0" collapsed="false">
      <c r="A18" s="9" t="s">
        <v>37</v>
      </c>
      <c r="B18" s="9" t="n">
        <f aca="false">COUNTIF(Reviews!$F$2:$F$121,A18)</f>
        <v>42</v>
      </c>
    </row>
    <row r="19" customFormat="false" ht="15" hidden="false" customHeight="false" outlineLevel="0" collapsed="false">
      <c r="A19" s="9" t="s">
        <v>21</v>
      </c>
      <c r="B19" s="9" t="n">
        <f aca="false">COUNTIF(Reviews!$F$2:$F$121,A19)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2026-08-28T15:20:02Z</dcterms:created>
  <dc:creator>openpyxl</dc:creator>
  <dc:description/>
  <dc:language>en-US</dc:language>
  <cp:lastModifiedBy/>
  <dcterms:modified xsi:type="dcterms:W3CDTF">2026-08-28T15:20:02Z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